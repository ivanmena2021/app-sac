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https://d.docs.live.net/77dd6ef53b10ea19/Escritorio/carpeta de cowork/reporte automatizado sac/"/>
    </mc:Choice>
  </mc:AlternateContent>
  <xr:revisionPtr revIDLastSave="0" documentId="8_{FA76A2BB-344D-469A-BE75-F2AA3257416A}" xr6:coauthVersionLast="47" xr6:coauthVersionMax="47" xr10:uidLastSave="{00000000-0000-0000-0000-000000000000}"/>
  <bookViews>
    <workbookView xWindow="-120" yWindow="-120" windowWidth="20730" windowHeight="11160" xr2:uid="{3CFA64E2-CAC5-4F70-84D0-D1C0AEE15581}"/>
  </bookViews>
  <sheets>
    <sheet name="SAC 2025-2026" sheetId="6" r:id="rId1"/>
    <sheet name="SAC 2024-2025" sheetId="5" r:id="rId2"/>
    <sheet name="SAC 2023-2024" sheetId="4" r:id="rId3"/>
    <sheet name="SAC 2022-2023" sheetId="3" r:id="rId4"/>
    <sheet name="SAC 2021-2022" sheetId="2" r:id="rId5"/>
    <sheet name="SAC 2020-2021" sheetId="1" r:id="rId6"/>
  </sheets>
  <definedNames>
    <definedName name="_xlnm._FilterDatabase" localSheetId="5" hidden="1">'SAC 2020-2021'!$A$2:$D$27</definedName>
    <definedName name="_xlnm._FilterDatabase" localSheetId="4" hidden="1">'SAC 2021-2022'!$A$2:$D$27</definedName>
    <definedName name="_xlnm._FilterDatabase" localSheetId="3" hidden="1">'SAC 2022-2023'!$A$2:$D$27</definedName>
    <definedName name="_xlnm._FilterDatabase" localSheetId="2" hidden="1">'SAC 2023-2024'!$A$2:$D$27</definedName>
    <definedName name="_xlnm._FilterDatabase" localSheetId="1" hidden="1">'SAC 2024-2025'!$A$2:$D$27</definedName>
    <definedName name="_xlnm._FilterDatabase" localSheetId="0" hidden="1">'SAC 2025-2026'!$A$2:$D$27</definedName>
    <definedName name="_xlnm.Print_Area" localSheetId="0">'SAC 2025-2026'!$A$2:$D$27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6" l="1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7" i="6" l="1"/>
  <c r="D27" i="5"/>
  <c r="C27" i="5"/>
  <c r="D27" i="4"/>
  <c r="C27" i="4"/>
  <c r="D27" i="3"/>
  <c r="C27" i="3"/>
  <c r="C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7" i="1"/>
  <c r="C27" i="1"/>
  <c r="D27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tc={68091641-F1AF-4DF7-8025-B11A4217935D}</author>
    <author>tc={9F1FB216-E396-4EEA-98BC-6BB8D5933E5F}</author>
  </authors>
  <commentList>
    <comment ref="C8" authorId="0" shapeId="0" xr:uid="{68091641-F1AF-4DF7-8025-B11A421793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5,702,877</t>
      </text>
    </comment>
    <comment ref="D8" authorId="1" shapeId="0" xr:uid="{9F1FB216-E396-4EEA-98BC-6BB8D5933E5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4,832,946.61</t>
      </text>
    </comment>
  </commentList>
</comments>
</file>

<file path=xl/sharedStrings.xml><?xml version="1.0" encoding="utf-8"?>
<sst xmlns="http://schemas.openxmlformats.org/spreadsheetml/2006/main" count="323" uniqueCount="72">
  <si>
    <t xml:space="preserve">SEGURO AGRICOLA CATASTROFICO (SAC) CAMPAÑA 2020-2021 </t>
  </si>
  <si>
    <t>REGION BENEFICIADA</t>
  </si>
  <si>
    <t>PRIMA TOTAL (S/.)     (FINANCIAMIENTO DEL FONDO)</t>
  </si>
  <si>
    <t xml:space="preserve"> PRIMA NETA (S/.)
 (SIN IGV)</t>
  </si>
  <si>
    <t>HUANCAVELICA</t>
  </si>
  <si>
    <t>LA POSITIVA</t>
  </si>
  <si>
    <t>APURIMAC</t>
  </si>
  <si>
    <t>CUSCO</t>
  </si>
  <si>
    <t>RÍMAC</t>
  </si>
  <si>
    <t>HUANUCO</t>
  </si>
  <si>
    <t>CAJAMARCA</t>
  </si>
  <si>
    <t>AYACUCHO</t>
  </si>
  <si>
    <t>MAPFRE</t>
  </si>
  <si>
    <t>PASCO</t>
  </si>
  <si>
    <t>PUNO</t>
  </si>
  <si>
    <t>AMAZONAS</t>
  </si>
  <si>
    <t>ANCASH</t>
  </si>
  <si>
    <t>JUNÍN</t>
  </si>
  <si>
    <t>LA LIBERTAD</t>
  </si>
  <si>
    <t>PIURA</t>
  </si>
  <si>
    <t>SAN MARTÍN</t>
  </si>
  <si>
    <t>AREQUIPA</t>
  </si>
  <si>
    <t>ICA</t>
  </si>
  <si>
    <t>LAMBAYEQUE</t>
  </si>
  <si>
    <t>LIMA</t>
  </si>
  <si>
    <t>LORETO</t>
  </si>
  <si>
    <t>MADRE DE DIOS</t>
  </si>
  <si>
    <t>MOQUEGUA</t>
  </si>
  <si>
    <t>TACNA</t>
  </si>
  <si>
    <t>TUMBES</t>
  </si>
  <si>
    <t>UCAYALI</t>
  </si>
  <si>
    <t>TOTALES</t>
  </si>
  <si>
    <t xml:space="preserve">SEGURO AGRICOLA CATASTROFICO (SAC) CAMPAÑA 2021-2022 </t>
  </si>
  <si>
    <t>Departamento asegurado</t>
  </si>
  <si>
    <t>Empresa aseguradora</t>
  </si>
  <si>
    <t>Prima Total
S/</t>
  </si>
  <si>
    <t>Prima Neta
(sin IGV)
S/</t>
  </si>
  <si>
    <t>Áncash</t>
  </si>
  <si>
    <t>La Positiva</t>
  </si>
  <si>
    <t>Apurímac</t>
  </si>
  <si>
    <t>Ayacucho</t>
  </si>
  <si>
    <t>Cusco</t>
  </si>
  <si>
    <t>Huancavelica</t>
  </si>
  <si>
    <t>Huánuco</t>
  </si>
  <si>
    <t>Ica</t>
  </si>
  <si>
    <t>Junín</t>
  </si>
  <si>
    <t>La Libertad</t>
  </si>
  <si>
    <t xml:space="preserve">Lima </t>
  </si>
  <si>
    <t>Moquegua</t>
  </si>
  <si>
    <t>Pasco</t>
  </si>
  <si>
    <t>San Martín</t>
  </si>
  <si>
    <t>Tacna</t>
  </si>
  <si>
    <t>Tumbes</t>
  </si>
  <si>
    <t>Ucayali</t>
  </si>
  <si>
    <t>Amazonas</t>
  </si>
  <si>
    <t>Rímac</t>
  </si>
  <si>
    <t>Arequipa</t>
  </si>
  <si>
    <t>Cajamarca</t>
  </si>
  <si>
    <t>Lambayeque</t>
  </si>
  <si>
    <t>Loreto</t>
  </si>
  <si>
    <t>Madre De Dios</t>
  </si>
  <si>
    <t>Piura</t>
  </si>
  <si>
    <t>Puno</t>
  </si>
  <si>
    <t>TOTAL NACIONAL</t>
  </si>
  <si>
    <t xml:space="preserve">SEGURO AGRICOLA CATASTROFICO (SAC) CAMPAÑA 2022-2023 </t>
  </si>
  <si>
    <t xml:space="preserve">SEGURO AGRICOLA CATASTROFICO (SAC) CAMPAÑA 2023-2024 </t>
  </si>
  <si>
    <t>Lima</t>
  </si>
  <si>
    <t xml:space="preserve">SEGURO AGRICOLA CATASTROFICO (SAC) CAMPAÑA 2024-2025 </t>
  </si>
  <si>
    <t>Pacífico</t>
  </si>
  <si>
    <t>EMPRESA DE SEGUROS</t>
  </si>
  <si>
    <t>Empresa de Seguros</t>
  </si>
  <si>
    <t xml:space="preserve">SEGURO AGRICOLA CATASTROFICO (SAC) CAMPAÑA 2025-2026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</si>
</sst>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S/&quot;\ #,##0.00;\-&quot;S/&quot;\ #,##0.00"/>
    <numFmt numFmtId="43" formatCode="_-* #,##0.00_-;\-* #,##0.00_-;_-* &quot;-&quot;??_-;_-@_-"/>
    <numFmt numFmtId="164" formatCode="&quot;S/.&quot;\ #,##0.00"/>
    <numFmt numFmtId="165" formatCode="_ * #,##0.00_ ;_ * \-#,##0.00_ ;_ * &quot;-&quot;??_ ;_ @_ "/>
    <numFmt numFmtId="166" formatCode="_-[$S/-280A]\ * #,##0.00_-;\-[$S/-280A]\ * #,##0.00_-;_-[$S/-280A]\ * &quot;-&quot;??_-;_-@_-"/>
    <numFmt numFmtId="167" formatCode="&quot;S/.&quot;#,##0.00"/>
    <numFmt numFmtId="168" formatCode="&quot;S/&quot;\ #,##0.00000;\-&quot;S/&quot;\ #,##0.00000"/>
  </numFmts>
  <fonts count="14" x14ac:knownFonts="1">
    <font>
      <sz val="10"/>
      <color rgb="FF000000"/>
      <name val="Arial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1"/>
      <color indexed="8"/>
      <name val="Calibri"/>
      <family val="2"/>
    </font>
    <font>
      <sz val="11"/>
      <color rgb="FF000000"/>
      <name val="Arial"/>
      <family val="2"/>
    </font>
    <font>
      <b/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4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1" fillId="0" borderId="0"/>
    <xf numFmtId="0" fontId="5" fillId="0" borderId="0"/>
    <xf numFmtId="43" fontId="5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2" applyFont="1"/>
    <xf numFmtId="167" fontId="3" fillId="0" borderId="0" xfId="2" applyNumberFormat="1" applyFont="1"/>
    <xf numFmtId="0" fontId="2" fillId="5" borderId="2" xfId="2" applyFont="1" applyFill="1" applyBorder="1" applyAlignment="1">
      <alignment horizontal="center" vertical="center" wrapText="1"/>
    </xf>
    <xf numFmtId="164" fontId="2" fillId="5" borderId="2" xfId="2" applyNumberFormat="1" applyFont="1" applyFill="1" applyBorder="1" applyAlignment="1">
      <alignment horizontal="center" vertical="center" wrapText="1"/>
    </xf>
    <xf numFmtId="0" fontId="2" fillId="5" borderId="2" xfId="2" applyFont="1" applyFill="1" applyBorder="1" applyAlignment="1">
      <alignment horizontal="left" vertical="center" wrapText="1"/>
    </xf>
    <xf numFmtId="0" fontId="3" fillId="0" borderId="0" xfId="2" applyFont="1" applyAlignment="1">
      <alignment horizontal="left"/>
    </xf>
    <xf numFmtId="0" fontId="6" fillId="0" borderId="0" xfId="0" applyFont="1"/>
    <xf numFmtId="0" fontId="7" fillId="4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166" fontId="9" fillId="8" borderId="2" xfId="0" applyNumberFormat="1" applyFont="1" applyFill="1" applyBorder="1" applyAlignment="1">
      <alignment horizontal="right" vertical="center" wrapText="1"/>
    </xf>
    <xf numFmtId="166" fontId="10" fillId="6" borderId="2" xfId="0" applyNumberFormat="1" applyFont="1" applyFill="1" applyBorder="1" applyAlignment="1">
      <alignment horizontal="right" vertical="center" wrapText="1"/>
    </xf>
    <xf numFmtId="0" fontId="2" fillId="3" borderId="2" xfId="2" applyFont="1" applyFill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164" fontId="11" fillId="0" borderId="3" xfId="0" applyNumberFormat="1" applyFont="1" applyBorder="1" applyAlignment="1">
      <alignment horizontal="righ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/>
    </xf>
    <xf numFmtId="164" fontId="11" fillId="0" borderId="6" xfId="0" applyNumberFormat="1" applyFont="1" applyBorder="1" applyAlignment="1">
      <alignment horizontal="right" vertical="center" wrapText="1"/>
    </xf>
    <xf numFmtId="164" fontId="11" fillId="0" borderId="4" xfId="0" applyNumberFormat="1" applyFont="1" applyBorder="1" applyAlignment="1">
      <alignment horizontal="right" vertical="center" wrapText="1"/>
    </xf>
    <xf numFmtId="0" fontId="11" fillId="0" borderId="3" xfId="0" applyFont="1" applyBorder="1" applyAlignment="1">
      <alignment horizontal="center" vertical="center"/>
    </xf>
    <xf numFmtId="3" fontId="6" fillId="0" borderId="0" xfId="0" applyNumberFormat="1" applyFont="1"/>
    <xf numFmtId="4" fontId="6" fillId="0" borderId="0" xfId="0" applyNumberFormat="1" applyFont="1"/>
    <xf numFmtId="0" fontId="5" fillId="9" borderId="0" xfId="0" applyFont="1" applyFill="1" applyAlignment="1">
      <alignment horizontal="center" vertical="center"/>
    </xf>
    <xf numFmtId="0" fontId="8" fillId="10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166" fontId="9" fillId="10" borderId="2" xfId="0" applyNumberFormat="1" applyFont="1" applyFill="1" applyBorder="1" applyAlignment="1">
      <alignment horizontal="right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166" fontId="9" fillId="11" borderId="2" xfId="0" applyNumberFormat="1" applyFont="1" applyFill="1" applyBorder="1" applyAlignment="1">
      <alignment horizontal="right" vertical="center" wrapText="1"/>
    </xf>
    <xf numFmtId="166" fontId="12" fillId="5" borderId="0" xfId="0" applyNumberFormat="1" applyFont="1" applyFill="1"/>
    <xf numFmtId="0" fontId="8" fillId="0" borderId="0" xfId="0" applyFont="1"/>
    <xf numFmtId="0" fontId="13" fillId="12" borderId="2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66" fontId="13" fillId="0" borderId="2" xfId="1" applyNumberFormat="1" applyFont="1" applyBorder="1" applyAlignment="1">
      <alignment horizontal="right" vertical="center" wrapText="1"/>
    </xf>
    <xf numFmtId="166" fontId="13" fillId="0" borderId="2" xfId="1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6" fontId="13" fillId="11" borderId="2" xfId="1" applyNumberFormat="1" applyFont="1" applyFill="1" applyBorder="1" applyAlignment="1">
      <alignment horizontal="right" vertical="center" wrapText="1"/>
    </xf>
    <xf numFmtId="166" fontId="13" fillId="11" borderId="2" xfId="1" applyNumberFormat="1" applyFont="1" applyFill="1" applyBorder="1" applyAlignment="1">
      <alignment horizontal="center" vertical="center" wrapText="1"/>
    </xf>
    <xf numFmtId="166" fontId="12" fillId="6" borderId="2" xfId="1" applyNumberFormat="1" applyFont="1" applyFill="1" applyBorder="1" applyAlignment="1">
      <alignment horizontal="right" vertical="center" wrapText="1"/>
    </xf>
    <xf numFmtId="0" fontId="5" fillId="9" borderId="0" xfId="7" applyFill="1" applyAlignment="1">
      <alignment vertical="center"/>
    </xf>
    <xf numFmtId="0" fontId="5" fillId="12" borderId="2" xfId="7" applyFill="1" applyBorder="1" applyAlignment="1">
      <alignment horizontal="center" vertical="center" wrapText="1"/>
    </xf>
    <xf numFmtId="0" fontId="5" fillId="0" borderId="0" xfId="7" applyAlignment="1">
      <alignment horizontal="center" vertical="center"/>
    </xf>
    <xf numFmtId="0" fontId="9" fillId="0" borderId="2" xfId="7" applyFont="1" applyBorder="1" applyAlignment="1">
      <alignment horizontal="center" vertical="center" wrapText="1"/>
    </xf>
    <xf numFmtId="166" fontId="13" fillId="0" borderId="2" xfId="8" applyNumberFormat="1" applyFont="1" applyBorder="1" applyAlignment="1">
      <alignment horizontal="right" vertical="center" wrapText="1"/>
    </xf>
    <xf numFmtId="166" fontId="5" fillId="0" borderId="2" xfId="8" applyNumberFormat="1" applyFont="1" applyFill="1" applyBorder="1" applyAlignment="1">
      <alignment horizontal="center" vertical="center" wrapText="1"/>
    </xf>
    <xf numFmtId="0" fontId="8" fillId="0" borderId="2" xfId="7" applyFont="1" applyBorder="1" applyAlignment="1">
      <alignment horizontal="center" vertical="center" wrapText="1"/>
    </xf>
    <xf numFmtId="0" fontId="8" fillId="0" borderId="7" xfId="7" applyFont="1" applyBorder="1" applyAlignment="1">
      <alignment horizontal="center" vertical="center" wrapText="1"/>
    </xf>
    <xf numFmtId="166" fontId="13" fillId="0" borderId="2" xfId="8" applyNumberFormat="1" applyFont="1" applyFill="1" applyBorder="1" applyAlignment="1">
      <alignment horizontal="right" vertical="center" wrapText="1"/>
    </xf>
    <xf numFmtId="43" fontId="5" fillId="9" borderId="0" xfId="8" applyFont="1" applyFill="1" applyAlignment="1">
      <alignment vertical="center"/>
    </xf>
    <xf numFmtId="168" fontId="5" fillId="9" borderId="0" xfId="7" applyNumberFormat="1" applyFill="1" applyAlignment="1">
      <alignment vertical="center"/>
    </xf>
    <xf numFmtId="7" fontId="5" fillId="9" borderId="0" xfId="7" applyNumberFormat="1" applyFill="1" applyAlignment="1">
      <alignment vertical="center"/>
    </xf>
    <xf numFmtId="166" fontId="10" fillId="6" borderId="2" xfId="8" applyNumberFormat="1" applyFont="1" applyFill="1" applyBorder="1" applyAlignment="1">
      <alignment horizontal="right" vertical="center" wrapText="1"/>
    </xf>
    <xf numFmtId="0" fontId="5" fillId="9" borderId="0" xfId="7" applyFill="1" applyAlignment="1">
      <alignment horizontal="center" vertical="center"/>
    </xf>
    <xf numFmtId="0" fontId="10" fillId="6" borderId="7" xfId="7" applyFont="1" applyFill="1" applyBorder="1" applyAlignment="1">
      <alignment horizontal="center" vertical="center" wrapText="1"/>
    </xf>
    <xf numFmtId="0" fontId="10" fillId="6" borderId="8" xfId="7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</cellXfs>
  <cellStyles count="9">
    <cellStyle name="Millares" xfId="1" builtinId="3"/>
    <cellStyle name="Millares 2" xfId="3" xr:uid="{69446464-0D80-4C0E-AB19-18B949373871}"/>
    <cellStyle name="Millares 3" xfId="8" xr:uid="{80BFDBF3-05FE-4114-A85D-A623C0058DB9}"/>
    <cellStyle name="Normal" xfId="0" builtinId="0"/>
    <cellStyle name="Normal 2" xfId="2" xr:uid="{243E4993-8775-4646-9DFD-78E6A7A6588A}"/>
    <cellStyle name="Normal 3" xfId="6" xr:uid="{F7BE0776-5931-48D7-B885-D00900B985CC}"/>
    <cellStyle name="Normal 4" xfId="5" xr:uid="{DF34EE86-85F1-4BD2-87C3-8D4BF3400E7B}"/>
    <cellStyle name="Normal 5" xfId="7" xr:uid="{8C73FF41-BB9D-43CD-84D0-009B8735759C}"/>
    <cellStyle name="Porcentaje 2" xfId="4" xr:uid="{F5ED7EAF-D558-4BC1-A6B3-A2A8A6BA1B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uan Manuel Díaz Caycho" id="{A2DEDE00-7F8F-41E3-8AA4-05961F5E6822}" userId="bc6065b880c826cb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8" dT="2023-11-02T13:34:56.05" personId="{A2DEDE00-7F8F-41E3-8AA4-05961F5E6822}" id="{68091641-F1AF-4DF7-8025-B11A4217935D}">
    <text>5,702,877</text>
  </threadedComment>
  <threadedComment ref="D8" dT="2023-11-02T13:36:33.56" personId="{A2DEDE00-7F8F-41E3-8AA4-05961F5E6822}" id="{9F1FB216-E396-4EEA-98BC-6BB8D5933E5F}">
    <text>4,832,946.61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C6648-56DD-4000-8730-593B616E1FCD}">
  <dimension ref="A1:H27"/>
  <sheetViews>
    <sheetView tabSelected="1" zoomScaleNormal="100" workbookViewId="0">
      <pane xSplit="2" topLeftCell="C1" activePane="topRight" state="frozen"/>
      <selection pane="topRight" activeCell="G5" sqref="G5"/>
    </sheetView>
  </sheetViews>
  <sheetFormatPr baseColWidth="10" defaultColWidth="11.42578125" defaultRowHeight="15" x14ac:dyDescent="0.2"/>
  <cols>
    <col min="1" max="1" width="18.42578125" style="42" bestFit="1" customWidth="1"/>
    <col min="2" max="2" width="16.42578125" style="55" bestFit="1" customWidth="1"/>
    <col min="3" max="4" width="15.85546875" style="55" bestFit="1" customWidth="1"/>
    <col min="5" max="5" width="15.85546875" style="42" bestFit="1" customWidth="1"/>
    <col min="6" max="6" width="11.42578125" style="42"/>
    <col min="7" max="7" width="20.85546875" style="42" bestFit="1" customWidth="1"/>
    <col min="8" max="8" width="17.5703125" style="42" bestFit="1" customWidth="1"/>
    <col min="9" max="16384" width="11.42578125" style="42"/>
  </cols>
  <sheetData>
    <row r="1" spans="1:8" x14ac:dyDescent="0.2">
      <c r="A1" s="58" t="s">
        <v>71</v>
      </c>
      <c r="B1" s="58"/>
      <c r="C1" s="58"/>
      <c r="D1" s="58"/>
    </row>
    <row r="2" spans="1:8" ht="45" x14ac:dyDescent="0.2">
      <c r="A2" s="43" t="s">
        <v>33</v>
      </c>
      <c r="B2" s="43" t="s">
        <v>34</v>
      </c>
      <c r="C2" s="43" t="s">
        <v>35</v>
      </c>
      <c r="D2" s="43" t="s">
        <v>36</v>
      </c>
    </row>
    <row r="3" spans="1:8" x14ac:dyDescent="0.2">
      <c r="A3" s="44" t="s">
        <v>54</v>
      </c>
      <c r="B3" s="45" t="s">
        <v>38</v>
      </c>
      <c r="C3" s="46">
        <v>1250000</v>
      </c>
      <c r="D3" s="47">
        <f>+C3/1.18</f>
        <v>1059322.0338983051</v>
      </c>
    </row>
    <row r="4" spans="1:8" x14ac:dyDescent="0.2">
      <c r="A4" s="48" t="s">
        <v>37</v>
      </c>
      <c r="B4" s="45" t="s">
        <v>38</v>
      </c>
      <c r="C4" s="46">
        <v>1000000</v>
      </c>
      <c r="D4" s="47">
        <f t="shared" ref="D4:D26" si="0">+C4/1.18</f>
        <v>847457.62711864407</v>
      </c>
    </row>
    <row r="5" spans="1:8" x14ac:dyDescent="0.2">
      <c r="A5" s="48" t="s">
        <v>56</v>
      </c>
      <c r="B5" s="45" t="s">
        <v>38</v>
      </c>
      <c r="C5" s="46">
        <v>1125000</v>
      </c>
      <c r="D5" s="47">
        <f t="shared" si="0"/>
        <v>953389.83050847461</v>
      </c>
    </row>
    <row r="6" spans="1:8" x14ac:dyDescent="0.2">
      <c r="A6" s="48" t="s">
        <v>41</v>
      </c>
      <c r="B6" s="45" t="s">
        <v>38</v>
      </c>
      <c r="C6" s="46">
        <v>3437500</v>
      </c>
      <c r="D6" s="47">
        <f t="shared" si="0"/>
        <v>2913135.5932203392</v>
      </c>
    </row>
    <row r="7" spans="1:8" x14ac:dyDescent="0.2">
      <c r="A7" s="49" t="s">
        <v>42</v>
      </c>
      <c r="B7" s="45" t="s">
        <v>38</v>
      </c>
      <c r="C7" s="46">
        <v>7609375</v>
      </c>
      <c r="D7" s="47">
        <f t="shared" si="0"/>
        <v>6448622.8813559329</v>
      </c>
    </row>
    <row r="8" spans="1:8" x14ac:dyDescent="0.2">
      <c r="A8" s="48" t="s">
        <v>43</v>
      </c>
      <c r="B8" s="45" t="s">
        <v>38</v>
      </c>
      <c r="C8" s="46">
        <v>3750000</v>
      </c>
      <c r="D8" s="47">
        <f t="shared" si="0"/>
        <v>3177966.1016949154</v>
      </c>
    </row>
    <row r="9" spans="1:8" x14ac:dyDescent="0.2">
      <c r="A9" s="48" t="s">
        <v>45</v>
      </c>
      <c r="B9" s="45" t="s">
        <v>38</v>
      </c>
      <c r="C9" s="50">
        <v>3125000</v>
      </c>
      <c r="D9" s="47">
        <f t="shared" si="0"/>
        <v>2648305.0847457629</v>
      </c>
    </row>
    <row r="10" spans="1:8" x14ac:dyDescent="0.2">
      <c r="A10" s="48" t="s">
        <v>46</v>
      </c>
      <c r="B10" s="45" t="s">
        <v>38</v>
      </c>
      <c r="C10" s="46">
        <v>1625000</v>
      </c>
      <c r="D10" s="47">
        <f t="shared" si="0"/>
        <v>1377118.6440677966</v>
      </c>
      <c r="H10" s="51"/>
    </row>
    <row r="11" spans="1:8" x14ac:dyDescent="0.2">
      <c r="A11" s="48" t="s">
        <v>58</v>
      </c>
      <c r="B11" s="45" t="s">
        <v>38</v>
      </c>
      <c r="C11" s="46">
        <v>1123310</v>
      </c>
      <c r="D11" s="47">
        <f t="shared" si="0"/>
        <v>951957.62711864407</v>
      </c>
      <c r="G11" s="52"/>
    </row>
    <row r="12" spans="1:8" x14ac:dyDescent="0.2">
      <c r="A12" s="48" t="s">
        <v>66</v>
      </c>
      <c r="B12" s="45" t="s">
        <v>38</v>
      </c>
      <c r="C12" s="46">
        <v>2187500</v>
      </c>
      <c r="D12" s="47">
        <f t="shared" si="0"/>
        <v>1853813.559322034</v>
      </c>
    </row>
    <row r="13" spans="1:8" x14ac:dyDescent="0.2">
      <c r="A13" s="48" t="s">
        <v>59</v>
      </c>
      <c r="B13" s="45" t="s">
        <v>38</v>
      </c>
      <c r="C13" s="46">
        <v>1812500</v>
      </c>
      <c r="D13" s="47">
        <f t="shared" si="0"/>
        <v>1536016.9491525425</v>
      </c>
    </row>
    <row r="14" spans="1:8" x14ac:dyDescent="0.2">
      <c r="A14" s="49" t="s">
        <v>60</v>
      </c>
      <c r="B14" s="45" t="s">
        <v>38</v>
      </c>
      <c r="C14" s="46">
        <v>931250</v>
      </c>
      <c r="D14" s="47">
        <f t="shared" si="0"/>
        <v>789194.91525423736</v>
      </c>
    </row>
    <row r="15" spans="1:8" x14ac:dyDescent="0.2">
      <c r="A15" s="48" t="s">
        <v>49</v>
      </c>
      <c r="B15" s="45" t="s">
        <v>38</v>
      </c>
      <c r="C15" s="46">
        <v>3963232</v>
      </c>
      <c r="D15" s="47">
        <f t="shared" si="0"/>
        <v>3358671.1864406783</v>
      </c>
    </row>
    <row r="16" spans="1:8" x14ac:dyDescent="0.2">
      <c r="A16" s="48" t="s">
        <v>61</v>
      </c>
      <c r="B16" s="45" t="s">
        <v>38</v>
      </c>
      <c r="C16" s="50">
        <v>2909638.55</v>
      </c>
      <c r="D16" s="47">
        <f t="shared" si="0"/>
        <v>2465795.381355932</v>
      </c>
    </row>
    <row r="17" spans="1:5" x14ac:dyDescent="0.2">
      <c r="A17" s="48" t="s">
        <v>62</v>
      </c>
      <c r="B17" s="45" t="s">
        <v>38</v>
      </c>
      <c r="C17" s="46">
        <v>8918750</v>
      </c>
      <c r="D17" s="47">
        <f t="shared" si="0"/>
        <v>7558262.7118644072</v>
      </c>
    </row>
    <row r="18" spans="1:5" x14ac:dyDescent="0.2">
      <c r="A18" s="48" t="s">
        <v>50</v>
      </c>
      <c r="B18" s="45" t="s">
        <v>38</v>
      </c>
      <c r="C18" s="46">
        <v>2500000</v>
      </c>
      <c r="D18" s="47">
        <f t="shared" si="0"/>
        <v>2118644.0677966103</v>
      </c>
    </row>
    <row r="19" spans="1:5" x14ac:dyDescent="0.2">
      <c r="A19" s="48" t="s">
        <v>51</v>
      </c>
      <c r="B19" s="45" t="s">
        <v>38</v>
      </c>
      <c r="C19" s="46">
        <v>625000</v>
      </c>
      <c r="D19" s="47">
        <f t="shared" si="0"/>
        <v>529661.01694915257</v>
      </c>
    </row>
    <row r="20" spans="1:5" x14ac:dyDescent="0.2">
      <c r="A20" s="48" t="s">
        <v>53</v>
      </c>
      <c r="B20" s="45" t="s">
        <v>38</v>
      </c>
      <c r="C20" s="46">
        <v>1875000</v>
      </c>
      <c r="D20" s="47">
        <f t="shared" si="0"/>
        <v>1588983.0508474577</v>
      </c>
    </row>
    <row r="21" spans="1:5" x14ac:dyDescent="0.2">
      <c r="A21" s="48" t="s">
        <v>39</v>
      </c>
      <c r="B21" s="45" t="s">
        <v>55</v>
      </c>
      <c r="C21" s="46">
        <v>9296875</v>
      </c>
      <c r="D21" s="47">
        <f t="shared" si="0"/>
        <v>7878707.6271186443</v>
      </c>
      <c r="E21" s="53"/>
    </row>
    <row r="22" spans="1:5" x14ac:dyDescent="0.2">
      <c r="A22" s="49" t="s">
        <v>40</v>
      </c>
      <c r="B22" s="45" t="s">
        <v>55</v>
      </c>
      <c r="C22" s="46">
        <v>9167250</v>
      </c>
      <c r="D22" s="47">
        <f t="shared" si="0"/>
        <v>7768855.9322033906</v>
      </c>
    </row>
    <row r="23" spans="1:5" x14ac:dyDescent="0.2">
      <c r="A23" s="48" t="s">
        <v>57</v>
      </c>
      <c r="B23" s="45" t="s">
        <v>55</v>
      </c>
      <c r="C23" s="46">
        <v>2250000</v>
      </c>
      <c r="D23" s="47">
        <f t="shared" si="0"/>
        <v>1906779.6610169492</v>
      </c>
    </row>
    <row r="24" spans="1:5" x14ac:dyDescent="0.2">
      <c r="A24" s="48" t="s">
        <v>44</v>
      </c>
      <c r="B24" s="45" t="s">
        <v>55</v>
      </c>
      <c r="C24" s="46">
        <v>1250000</v>
      </c>
      <c r="D24" s="47">
        <f t="shared" si="0"/>
        <v>1059322.0338983051</v>
      </c>
    </row>
    <row r="25" spans="1:5" x14ac:dyDescent="0.2">
      <c r="A25" s="49" t="s">
        <v>48</v>
      </c>
      <c r="B25" s="45" t="s">
        <v>55</v>
      </c>
      <c r="C25" s="46">
        <v>750000</v>
      </c>
      <c r="D25" s="47">
        <f t="shared" si="0"/>
        <v>635593.22033898311</v>
      </c>
    </row>
    <row r="26" spans="1:5" x14ac:dyDescent="0.2">
      <c r="A26" s="48" t="s">
        <v>52</v>
      </c>
      <c r="B26" s="45" t="s">
        <v>55</v>
      </c>
      <c r="C26" s="50">
        <v>1245250</v>
      </c>
      <c r="D26" s="47">
        <f t="shared" si="0"/>
        <v>1055296.6101694915</v>
      </c>
    </row>
    <row r="27" spans="1:5" x14ac:dyDescent="0.2">
      <c r="A27" s="56" t="s">
        <v>63</v>
      </c>
      <c r="B27" s="57"/>
      <c r="C27" s="54">
        <f>SUM(C3:C26)</f>
        <v>73727430.549999997</v>
      </c>
      <c r="D27" s="54">
        <f>SUM(D3:D26)</f>
        <v>62480873.34745764</v>
      </c>
    </row>
  </sheetData>
  <autoFilter ref="A2:D27" xr:uid="{00000000-0009-0000-0000-000000000000}"/>
  <mergeCells count="2">
    <mergeCell ref="A27:B27"/>
    <mergeCell ref="A1:D1"/>
  </mergeCells>
  <printOptions horizontalCentered="1"/>
  <pageMargins left="0.19685039370078741" right="0.19685039370078741" top="0.39370078740157483" bottom="0.19685039370078741" header="0" footer="0"/>
  <pageSetup paperSize="9" scale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CAD5E-97C9-4194-944F-D95C629BFF4D}">
  <dimension ref="A1:D27"/>
  <sheetViews>
    <sheetView zoomScaleNormal="100" workbookViewId="0">
      <pane xSplit="4" topLeftCell="E1" activePane="topRight" state="frozen"/>
      <selection activeCell="A2" sqref="A2"/>
      <selection pane="topRight" sqref="A1:XFD1048576"/>
    </sheetView>
  </sheetViews>
  <sheetFormatPr baseColWidth="10" defaultRowHeight="15" x14ac:dyDescent="0.25"/>
  <cols>
    <col min="1" max="1" width="14" style="32" customWidth="1"/>
    <col min="2" max="2" width="12.5703125" style="32" customWidth="1"/>
    <col min="3" max="3" width="16.5703125" style="32" bestFit="1" customWidth="1"/>
    <col min="4" max="4" width="16.42578125" style="32" bestFit="1" customWidth="1"/>
    <col min="5" max="16384" width="11.42578125" style="32"/>
  </cols>
  <sheetData>
    <row r="1" spans="1:4" x14ac:dyDescent="0.25">
      <c r="A1" s="58" t="s">
        <v>67</v>
      </c>
      <c r="B1" s="58"/>
      <c r="C1" s="58"/>
      <c r="D1" s="58"/>
    </row>
    <row r="2" spans="1:4" ht="45" x14ac:dyDescent="0.25">
      <c r="A2" s="33" t="s">
        <v>33</v>
      </c>
      <c r="B2" s="33" t="s">
        <v>70</v>
      </c>
      <c r="C2" s="33" t="s">
        <v>35</v>
      </c>
      <c r="D2" s="33" t="s">
        <v>36</v>
      </c>
    </row>
    <row r="3" spans="1:4" x14ac:dyDescent="0.25">
      <c r="A3" s="34" t="s">
        <v>40</v>
      </c>
      <c r="B3" s="35" t="s">
        <v>38</v>
      </c>
      <c r="C3" s="36">
        <v>7333800</v>
      </c>
      <c r="D3" s="37">
        <v>6215084.75</v>
      </c>
    </row>
    <row r="4" spans="1:4" x14ac:dyDescent="0.25">
      <c r="A4" s="34" t="s">
        <v>42</v>
      </c>
      <c r="B4" s="35" t="s">
        <v>38</v>
      </c>
      <c r="C4" s="36">
        <v>6087500</v>
      </c>
      <c r="D4" s="37">
        <v>5158898.3099999996</v>
      </c>
    </row>
    <row r="5" spans="1:4" x14ac:dyDescent="0.25">
      <c r="A5" s="34" t="s">
        <v>60</v>
      </c>
      <c r="B5" s="35" t="s">
        <v>38</v>
      </c>
      <c r="C5" s="36">
        <v>745000</v>
      </c>
      <c r="D5" s="37">
        <v>631355.93000000005</v>
      </c>
    </row>
    <row r="6" spans="1:4" x14ac:dyDescent="0.25">
      <c r="A6" s="34" t="s">
        <v>48</v>
      </c>
      <c r="B6" s="35" t="s">
        <v>38</v>
      </c>
      <c r="C6" s="36">
        <v>600000</v>
      </c>
      <c r="D6" s="37">
        <v>508474.58</v>
      </c>
    </row>
    <row r="7" spans="1:4" x14ac:dyDescent="0.25">
      <c r="A7" s="38" t="s">
        <v>54</v>
      </c>
      <c r="B7" s="35" t="s">
        <v>68</v>
      </c>
      <c r="C7" s="36">
        <v>1000000</v>
      </c>
      <c r="D7" s="37">
        <v>847457.63</v>
      </c>
    </row>
    <row r="8" spans="1:4" x14ac:dyDescent="0.25">
      <c r="A8" s="35" t="s">
        <v>37</v>
      </c>
      <c r="B8" s="35" t="s">
        <v>68</v>
      </c>
      <c r="C8" s="36">
        <v>800000</v>
      </c>
      <c r="D8" s="37">
        <v>677966.1</v>
      </c>
    </row>
    <row r="9" spans="1:4" x14ac:dyDescent="0.25">
      <c r="A9" s="35" t="s">
        <v>56</v>
      </c>
      <c r="B9" s="35" t="s">
        <v>68</v>
      </c>
      <c r="C9" s="36">
        <v>900000</v>
      </c>
      <c r="D9" s="37">
        <v>762711.86</v>
      </c>
    </row>
    <row r="10" spans="1:4" x14ac:dyDescent="0.25">
      <c r="A10" s="35" t="s">
        <v>57</v>
      </c>
      <c r="B10" s="35" t="s">
        <v>68</v>
      </c>
      <c r="C10" s="36">
        <v>1800000</v>
      </c>
      <c r="D10" s="37">
        <v>1525423.73</v>
      </c>
    </row>
    <row r="11" spans="1:4" x14ac:dyDescent="0.25">
      <c r="A11" s="35" t="s">
        <v>43</v>
      </c>
      <c r="B11" s="35" t="s">
        <v>68</v>
      </c>
      <c r="C11" s="36">
        <v>3000000</v>
      </c>
      <c r="D11" s="37">
        <v>2542372.88</v>
      </c>
    </row>
    <row r="12" spans="1:4" x14ac:dyDescent="0.25">
      <c r="A12" s="35" t="s">
        <v>44</v>
      </c>
      <c r="B12" s="35" t="s">
        <v>68</v>
      </c>
      <c r="C12" s="36">
        <v>1000000</v>
      </c>
      <c r="D12" s="37">
        <v>847457.63</v>
      </c>
    </row>
    <row r="13" spans="1:4" x14ac:dyDescent="0.25">
      <c r="A13" s="35" t="s">
        <v>45</v>
      </c>
      <c r="B13" s="35" t="s">
        <v>68</v>
      </c>
      <c r="C13" s="39">
        <v>1568000</v>
      </c>
      <c r="D13" s="40">
        <v>1328813.56</v>
      </c>
    </row>
    <row r="14" spans="1:4" x14ac:dyDescent="0.25">
      <c r="A14" s="35" t="s">
        <v>46</v>
      </c>
      <c r="B14" s="35" t="s">
        <v>68</v>
      </c>
      <c r="C14" s="36">
        <v>1300000</v>
      </c>
      <c r="D14" s="37">
        <v>1101694.92</v>
      </c>
    </row>
    <row r="15" spans="1:4" x14ac:dyDescent="0.25">
      <c r="A15" s="35" t="s">
        <v>58</v>
      </c>
      <c r="B15" s="35" t="s">
        <v>68</v>
      </c>
      <c r="C15" s="36">
        <v>1000000</v>
      </c>
      <c r="D15" s="37">
        <v>847457.63</v>
      </c>
    </row>
    <row r="16" spans="1:4" x14ac:dyDescent="0.25">
      <c r="A16" s="35" t="s">
        <v>66</v>
      </c>
      <c r="B16" s="35" t="s">
        <v>68</v>
      </c>
      <c r="C16" s="36">
        <v>1749999.94</v>
      </c>
      <c r="D16" s="37">
        <v>1483050.79</v>
      </c>
    </row>
    <row r="17" spans="1:4" x14ac:dyDescent="0.25">
      <c r="A17" s="35" t="s">
        <v>61</v>
      </c>
      <c r="B17" s="35" t="s">
        <v>68</v>
      </c>
      <c r="C17" s="39">
        <v>1751087.45</v>
      </c>
      <c r="D17" s="40">
        <v>1483972.42</v>
      </c>
    </row>
    <row r="18" spans="1:4" x14ac:dyDescent="0.25">
      <c r="A18" s="35" t="s">
        <v>50</v>
      </c>
      <c r="B18" s="35" t="s">
        <v>68</v>
      </c>
      <c r="C18" s="36">
        <v>2000000</v>
      </c>
      <c r="D18" s="37">
        <v>1694915.25</v>
      </c>
    </row>
    <row r="19" spans="1:4" x14ac:dyDescent="0.25">
      <c r="A19" s="35" t="s">
        <v>51</v>
      </c>
      <c r="B19" s="35" t="s">
        <v>68</v>
      </c>
      <c r="C19" s="36">
        <v>500000</v>
      </c>
      <c r="D19" s="37">
        <v>423728.81</v>
      </c>
    </row>
    <row r="20" spans="1:4" x14ac:dyDescent="0.25">
      <c r="A20" s="35" t="s">
        <v>52</v>
      </c>
      <c r="B20" s="35" t="s">
        <v>68</v>
      </c>
      <c r="C20" s="39">
        <v>670519.3600000001</v>
      </c>
      <c r="D20" s="40">
        <v>568236.75</v>
      </c>
    </row>
    <row r="21" spans="1:4" x14ac:dyDescent="0.25">
      <c r="A21" s="35" t="s">
        <v>53</v>
      </c>
      <c r="B21" s="35" t="s">
        <v>68</v>
      </c>
      <c r="C21" s="36">
        <v>1500000</v>
      </c>
      <c r="D21" s="37">
        <v>1271186.44</v>
      </c>
    </row>
    <row r="22" spans="1:4" x14ac:dyDescent="0.25">
      <c r="A22" s="35" t="s">
        <v>39</v>
      </c>
      <c r="B22" s="35" t="s">
        <v>55</v>
      </c>
      <c r="C22" s="36">
        <v>7437500</v>
      </c>
      <c r="D22" s="37">
        <v>6302966.0999999996</v>
      </c>
    </row>
    <row r="23" spans="1:4" x14ac:dyDescent="0.25">
      <c r="A23" s="35" t="s">
        <v>41</v>
      </c>
      <c r="B23" s="35" t="s">
        <v>55</v>
      </c>
      <c r="C23" s="36">
        <v>2750000</v>
      </c>
      <c r="D23" s="37">
        <v>2330508.4700000002</v>
      </c>
    </row>
    <row r="24" spans="1:4" x14ac:dyDescent="0.25">
      <c r="A24" s="35" t="s">
        <v>59</v>
      </c>
      <c r="B24" s="35" t="s">
        <v>55</v>
      </c>
      <c r="C24" s="36">
        <v>1450000</v>
      </c>
      <c r="D24" s="37">
        <v>1228813.56</v>
      </c>
    </row>
    <row r="25" spans="1:4" x14ac:dyDescent="0.25">
      <c r="A25" s="35" t="s">
        <v>49</v>
      </c>
      <c r="B25" s="35" t="s">
        <v>55</v>
      </c>
      <c r="C25" s="36">
        <v>3500000</v>
      </c>
      <c r="D25" s="37">
        <v>2966101.69</v>
      </c>
    </row>
    <row r="26" spans="1:4" x14ac:dyDescent="0.25">
      <c r="A26" s="35" t="s">
        <v>62</v>
      </c>
      <c r="B26" s="35" t="s">
        <v>55</v>
      </c>
      <c r="C26" s="36">
        <v>7135000</v>
      </c>
      <c r="D26" s="37">
        <v>6046610.1699999999</v>
      </c>
    </row>
    <row r="27" spans="1:4" x14ac:dyDescent="0.25">
      <c r="A27" s="59" t="s">
        <v>63</v>
      </c>
      <c r="B27" s="60"/>
      <c r="C27" s="41">
        <f>SUM(C3:C26)</f>
        <v>57578406.75</v>
      </c>
      <c r="D27" s="41">
        <f>SUM(D3:D26)</f>
        <v>48795259.959999993</v>
      </c>
    </row>
  </sheetData>
  <autoFilter ref="A2:D27" xr:uid="{6368507E-9134-4F9F-A59B-440A09D636BF}"/>
  <mergeCells count="2">
    <mergeCell ref="A1:D1"/>
    <mergeCell ref="A27:B2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5A0D3-5E10-4CF7-B643-2E6E6E654FB9}">
  <dimension ref="A1:D27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G12" sqref="G12"/>
    </sheetView>
  </sheetViews>
  <sheetFormatPr baseColWidth="10" defaultColWidth="15.7109375" defaultRowHeight="14.25" x14ac:dyDescent="0.2"/>
  <cols>
    <col min="1" max="2" width="15.7109375" style="7"/>
    <col min="3" max="4" width="16.7109375" style="7" bestFit="1" customWidth="1"/>
    <col min="5" max="16384" width="15.7109375" style="7"/>
  </cols>
  <sheetData>
    <row r="1" spans="1:4" ht="15" x14ac:dyDescent="0.2">
      <c r="A1" s="58" t="s">
        <v>65</v>
      </c>
      <c r="B1" s="58"/>
      <c r="C1" s="58"/>
      <c r="D1" s="58"/>
    </row>
    <row r="2" spans="1:4" ht="45" x14ac:dyDescent="0.2">
      <c r="A2" s="8" t="s">
        <v>33</v>
      </c>
      <c r="B2" s="8" t="s">
        <v>70</v>
      </c>
      <c r="C2" s="8" t="s">
        <v>35</v>
      </c>
      <c r="D2" s="8" t="s">
        <v>36</v>
      </c>
    </row>
    <row r="3" spans="1:4" ht="15" x14ac:dyDescent="0.2">
      <c r="A3" s="24" t="s">
        <v>54</v>
      </c>
      <c r="B3" s="10" t="s">
        <v>38</v>
      </c>
      <c r="C3" s="11">
        <v>1026993</v>
      </c>
      <c r="D3" s="11">
        <v>870333.05</v>
      </c>
    </row>
    <row r="4" spans="1:4" ht="15" x14ac:dyDescent="0.2">
      <c r="A4" s="25" t="s">
        <v>37</v>
      </c>
      <c r="B4" s="26" t="s">
        <v>38</v>
      </c>
      <c r="C4" s="27">
        <v>1320920.71</v>
      </c>
      <c r="D4" s="27">
        <v>1119424.33</v>
      </c>
    </row>
    <row r="5" spans="1:4" ht="15" x14ac:dyDescent="0.2">
      <c r="A5" s="9" t="s">
        <v>56</v>
      </c>
      <c r="B5" s="10" t="s">
        <v>38</v>
      </c>
      <c r="C5" s="11">
        <v>764011</v>
      </c>
      <c r="D5" s="11">
        <v>647466.94999999995</v>
      </c>
    </row>
    <row r="6" spans="1:4" ht="15" x14ac:dyDescent="0.2">
      <c r="A6" s="9" t="s">
        <v>57</v>
      </c>
      <c r="B6" s="10" t="s">
        <v>38</v>
      </c>
      <c r="C6" s="11">
        <v>2557696</v>
      </c>
      <c r="D6" s="11">
        <v>2167538.98</v>
      </c>
    </row>
    <row r="7" spans="1:4" ht="15" x14ac:dyDescent="0.2">
      <c r="A7" s="25" t="s">
        <v>41</v>
      </c>
      <c r="B7" s="26" t="s">
        <v>38</v>
      </c>
      <c r="C7" s="27">
        <v>5205835.26</v>
      </c>
      <c r="D7" s="27">
        <v>4411724.8</v>
      </c>
    </row>
    <row r="8" spans="1:4" ht="15" x14ac:dyDescent="0.2">
      <c r="A8" s="9" t="s">
        <v>43</v>
      </c>
      <c r="B8" s="10" t="s">
        <v>38</v>
      </c>
      <c r="C8" s="11">
        <v>3721641.28</v>
      </c>
      <c r="D8" s="11">
        <v>3153933.29</v>
      </c>
    </row>
    <row r="9" spans="1:4" ht="15" x14ac:dyDescent="0.2">
      <c r="A9" s="25" t="s">
        <v>44</v>
      </c>
      <c r="B9" s="26" t="s">
        <v>38</v>
      </c>
      <c r="C9" s="27">
        <v>2241860.54</v>
      </c>
      <c r="D9" s="27">
        <v>1899881.81</v>
      </c>
    </row>
    <row r="10" spans="1:4" ht="15" x14ac:dyDescent="0.2">
      <c r="A10" s="25" t="s">
        <v>45</v>
      </c>
      <c r="B10" s="26" t="s">
        <v>38</v>
      </c>
      <c r="C10" s="27">
        <v>3572725.52</v>
      </c>
      <c r="D10" s="27">
        <v>3027733.49</v>
      </c>
    </row>
    <row r="11" spans="1:4" ht="15" x14ac:dyDescent="0.2">
      <c r="A11" s="25" t="s">
        <v>46</v>
      </c>
      <c r="B11" s="26" t="s">
        <v>38</v>
      </c>
      <c r="C11" s="27">
        <v>2071179.84</v>
      </c>
      <c r="D11" s="27">
        <v>1755237.15</v>
      </c>
    </row>
    <row r="12" spans="1:4" ht="15" x14ac:dyDescent="0.2">
      <c r="A12" s="25" t="s">
        <v>58</v>
      </c>
      <c r="B12" s="26" t="s">
        <v>38</v>
      </c>
      <c r="C12" s="27">
        <v>3064932</v>
      </c>
      <c r="D12" s="27">
        <v>2597400</v>
      </c>
    </row>
    <row r="13" spans="1:4" ht="15" x14ac:dyDescent="0.2">
      <c r="A13" s="25" t="s">
        <v>66</v>
      </c>
      <c r="B13" s="26" t="s">
        <v>38</v>
      </c>
      <c r="C13" s="27">
        <v>3869316.88</v>
      </c>
      <c r="D13" s="27">
        <v>3279082.1</v>
      </c>
    </row>
    <row r="14" spans="1:4" ht="15" x14ac:dyDescent="0.2">
      <c r="A14" s="9" t="s">
        <v>59</v>
      </c>
      <c r="B14" s="10" t="s">
        <v>38</v>
      </c>
      <c r="C14" s="11">
        <v>1927254</v>
      </c>
      <c r="D14" s="11">
        <v>1633266.1</v>
      </c>
    </row>
    <row r="15" spans="1:4" ht="15" x14ac:dyDescent="0.2">
      <c r="A15" s="9" t="s">
        <v>49</v>
      </c>
      <c r="B15" s="10" t="s">
        <v>38</v>
      </c>
      <c r="C15" s="11">
        <v>5512194</v>
      </c>
      <c r="D15" s="11">
        <v>4671350.8499999996</v>
      </c>
    </row>
    <row r="16" spans="1:4" ht="15" x14ac:dyDescent="0.2">
      <c r="A16" s="25" t="s">
        <v>61</v>
      </c>
      <c r="B16" s="26" t="s">
        <v>38</v>
      </c>
      <c r="C16" s="27">
        <v>9104183.4399999995</v>
      </c>
      <c r="D16" s="27">
        <v>7715409.6900000004</v>
      </c>
    </row>
    <row r="17" spans="1:4" ht="15" x14ac:dyDescent="0.2">
      <c r="A17" s="9" t="s">
        <v>50</v>
      </c>
      <c r="B17" s="10" t="s">
        <v>38</v>
      </c>
      <c r="C17" s="11">
        <v>2108996</v>
      </c>
      <c r="D17" s="11">
        <v>1787284.75</v>
      </c>
    </row>
    <row r="18" spans="1:4" ht="15" x14ac:dyDescent="0.2">
      <c r="A18" s="9" t="s">
        <v>53</v>
      </c>
      <c r="B18" s="10" t="s">
        <v>38</v>
      </c>
      <c r="C18" s="11">
        <v>1495008</v>
      </c>
      <c r="D18" s="11">
        <v>1266955.93</v>
      </c>
    </row>
    <row r="19" spans="1:4" ht="15" x14ac:dyDescent="0.2">
      <c r="A19" s="9" t="s">
        <v>39</v>
      </c>
      <c r="B19" s="10" t="s">
        <v>55</v>
      </c>
      <c r="C19" s="11">
        <v>10237246</v>
      </c>
      <c r="D19" s="11">
        <v>8675632.1999999993</v>
      </c>
    </row>
    <row r="20" spans="1:4" ht="15" x14ac:dyDescent="0.2">
      <c r="A20" s="9" t="s">
        <v>40</v>
      </c>
      <c r="B20" s="10" t="s">
        <v>55</v>
      </c>
      <c r="C20" s="11">
        <v>10441570</v>
      </c>
      <c r="D20" s="11">
        <v>8848788.1400000006</v>
      </c>
    </row>
    <row r="21" spans="1:4" ht="15" x14ac:dyDescent="0.2">
      <c r="A21" s="9" t="s">
        <v>42</v>
      </c>
      <c r="B21" s="10" t="s">
        <v>55</v>
      </c>
      <c r="C21" s="11">
        <v>9380266</v>
      </c>
      <c r="D21" s="11">
        <v>7949377.9699999997</v>
      </c>
    </row>
    <row r="22" spans="1:4" ht="15" x14ac:dyDescent="0.2">
      <c r="A22" s="9" t="s">
        <v>60</v>
      </c>
      <c r="B22" s="10" t="s">
        <v>55</v>
      </c>
      <c r="C22" s="11">
        <v>697463</v>
      </c>
      <c r="D22" s="11">
        <v>591070.34</v>
      </c>
    </row>
    <row r="23" spans="1:4" ht="15" x14ac:dyDescent="0.2">
      <c r="A23" s="28" t="s">
        <v>48</v>
      </c>
      <c r="B23" s="29" t="s">
        <v>55</v>
      </c>
      <c r="C23" s="30">
        <v>727330.03</v>
      </c>
      <c r="D23" s="30">
        <v>616381.38</v>
      </c>
    </row>
    <row r="24" spans="1:4" ht="15" x14ac:dyDescent="0.2">
      <c r="A24" s="9" t="s">
        <v>62</v>
      </c>
      <c r="B24" s="10" t="s">
        <v>55</v>
      </c>
      <c r="C24" s="11">
        <v>12050667</v>
      </c>
      <c r="D24" s="11">
        <v>10212429.66</v>
      </c>
    </row>
    <row r="25" spans="1:4" ht="15" x14ac:dyDescent="0.2">
      <c r="A25" s="28" t="s">
        <v>51</v>
      </c>
      <c r="B25" s="29" t="s">
        <v>55</v>
      </c>
      <c r="C25" s="30">
        <v>1428669.4399999999</v>
      </c>
      <c r="D25" s="30">
        <v>1210736.81</v>
      </c>
    </row>
    <row r="26" spans="1:4" ht="15" x14ac:dyDescent="0.2">
      <c r="A26" s="28" t="s">
        <v>52</v>
      </c>
      <c r="B26" s="29" t="s">
        <v>55</v>
      </c>
      <c r="C26" s="30">
        <v>1575829.01</v>
      </c>
      <c r="D26" s="30">
        <v>1335448.31</v>
      </c>
    </row>
    <row r="27" spans="1:4" ht="15" x14ac:dyDescent="0.25">
      <c r="C27" s="31">
        <f>SUM(C3:C26)</f>
        <v>96103787.950000003</v>
      </c>
      <c r="D27" s="31">
        <f>SUM(D3:D26)</f>
        <v>81443888.079999998</v>
      </c>
    </row>
  </sheetData>
  <autoFilter ref="A2:D27" xr:uid="{00000000-0001-0000-0100-000000000000}"/>
  <mergeCells count="1">
    <mergeCell ref="A1:D1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B738F-183E-4633-B735-7F59C630F00A}">
  <dimension ref="A1:G27"/>
  <sheetViews>
    <sheetView zoomScaleNormal="100" workbookViewId="0">
      <pane xSplit="4" ySplit="1" topLeftCell="E2" activePane="bottomRight" state="frozen"/>
      <selection activeCell="T16" sqref="T16"/>
      <selection pane="topRight" activeCell="T16" sqref="T16"/>
      <selection pane="bottomLeft" activeCell="T16" sqref="T16"/>
      <selection pane="bottomRight" activeCell="B2" sqref="B2"/>
    </sheetView>
  </sheetViews>
  <sheetFormatPr baseColWidth="10" defaultColWidth="13.42578125" defaultRowHeight="14.25" x14ac:dyDescent="0.2"/>
  <cols>
    <col min="1" max="1" width="16.140625" style="7" customWidth="1"/>
    <col min="2" max="2" width="13.42578125" style="7"/>
    <col min="3" max="4" width="16.42578125" style="7" bestFit="1" customWidth="1"/>
    <col min="5" max="16384" width="13.42578125" style="7"/>
  </cols>
  <sheetData>
    <row r="1" spans="1:5" ht="15" x14ac:dyDescent="0.2">
      <c r="A1" s="58" t="s">
        <v>64</v>
      </c>
      <c r="B1" s="58"/>
      <c r="C1" s="58"/>
      <c r="D1" s="58"/>
    </row>
    <row r="2" spans="1:5" ht="45" x14ac:dyDescent="0.2">
      <c r="A2" s="8" t="s">
        <v>33</v>
      </c>
      <c r="B2" s="8" t="s">
        <v>70</v>
      </c>
      <c r="C2" s="8" t="s">
        <v>35</v>
      </c>
      <c r="D2" s="8" t="s">
        <v>36</v>
      </c>
    </row>
    <row r="3" spans="1:5" ht="15" x14ac:dyDescent="0.2">
      <c r="A3" s="9" t="s">
        <v>37</v>
      </c>
      <c r="B3" s="10" t="s">
        <v>38</v>
      </c>
      <c r="C3" s="11">
        <v>656992.94400000002</v>
      </c>
      <c r="D3" s="11">
        <v>556773.68135593226</v>
      </c>
      <c r="E3" s="22"/>
    </row>
    <row r="4" spans="1:5" ht="15" x14ac:dyDescent="0.2">
      <c r="A4" s="9" t="s">
        <v>39</v>
      </c>
      <c r="B4" s="10" t="s">
        <v>38</v>
      </c>
      <c r="C4" s="11">
        <v>9711184.5920000002</v>
      </c>
      <c r="D4" s="11">
        <v>8229817.4508474581</v>
      </c>
      <c r="E4" s="22"/>
    </row>
    <row r="5" spans="1:5" ht="15" x14ac:dyDescent="0.2">
      <c r="A5" s="9" t="s">
        <v>40</v>
      </c>
      <c r="B5" s="10" t="s">
        <v>38</v>
      </c>
      <c r="C5" s="11">
        <v>10441563.600000001</v>
      </c>
      <c r="D5" s="11">
        <v>8848782.7118644081</v>
      </c>
      <c r="E5" s="22"/>
    </row>
    <row r="6" spans="1:5" ht="15" x14ac:dyDescent="0.2">
      <c r="A6" s="9" t="s">
        <v>41</v>
      </c>
      <c r="B6" s="10" t="s">
        <v>38</v>
      </c>
      <c r="C6" s="11">
        <v>2792231</v>
      </c>
      <c r="D6" s="11">
        <v>2366297.4576271186</v>
      </c>
      <c r="E6" s="22"/>
    </row>
    <row r="7" spans="1:5" ht="15" x14ac:dyDescent="0.2">
      <c r="A7" s="9" t="s">
        <v>42</v>
      </c>
      <c r="B7" s="10" t="s">
        <v>38</v>
      </c>
      <c r="C7" s="11">
        <v>8118890.8480000012</v>
      </c>
      <c r="D7" s="11">
        <v>6880415.9728813572</v>
      </c>
      <c r="E7" s="22"/>
    </row>
    <row r="8" spans="1:5" ht="15" x14ac:dyDescent="0.2">
      <c r="A8" s="9" t="s">
        <v>43</v>
      </c>
      <c r="B8" s="10" t="s">
        <v>38</v>
      </c>
      <c r="C8" s="11">
        <v>6736692.0959999999</v>
      </c>
      <c r="D8" s="11">
        <v>5709061.0983050847</v>
      </c>
      <c r="E8" s="22"/>
    </row>
    <row r="9" spans="1:5" ht="15" x14ac:dyDescent="0.2">
      <c r="A9" s="9" t="s">
        <v>44</v>
      </c>
      <c r="B9" s="10" t="s">
        <v>38</v>
      </c>
      <c r="C9" s="11">
        <v>701568</v>
      </c>
      <c r="D9" s="11">
        <v>594549.15254237293</v>
      </c>
      <c r="E9" s="22"/>
    </row>
    <row r="10" spans="1:5" ht="15" x14ac:dyDescent="0.2">
      <c r="A10" s="9" t="s">
        <v>45</v>
      </c>
      <c r="B10" s="10" t="s">
        <v>38</v>
      </c>
      <c r="C10" s="11">
        <v>2386235.9519999996</v>
      </c>
      <c r="D10" s="11">
        <v>2022233.8576271185</v>
      </c>
      <c r="E10" s="22"/>
    </row>
    <row r="11" spans="1:5" ht="15" x14ac:dyDescent="0.2">
      <c r="A11" s="9" t="s">
        <v>46</v>
      </c>
      <c r="B11" s="10" t="s">
        <v>38</v>
      </c>
      <c r="C11" s="11">
        <v>1635142.0319999999</v>
      </c>
      <c r="D11" s="11">
        <v>1385713.586440678</v>
      </c>
      <c r="E11" s="22"/>
    </row>
    <row r="12" spans="1:5" ht="15" x14ac:dyDescent="0.2">
      <c r="A12" s="9" t="s">
        <v>47</v>
      </c>
      <c r="B12" s="10" t="s">
        <v>38</v>
      </c>
      <c r="C12" s="11">
        <v>725019.93599999999</v>
      </c>
      <c r="D12" s="11">
        <v>614423.67457627121</v>
      </c>
      <c r="E12" s="22"/>
    </row>
    <row r="13" spans="1:5" ht="15" x14ac:dyDescent="0.2">
      <c r="A13" s="9" t="s">
        <v>48</v>
      </c>
      <c r="B13" s="10" t="s">
        <v>38</v>
      </c>
      <c r="C13" s="11">
        <v>108955.04</v>
      </c>
      <c r="D13" s="11">
        <v>92334.779661016946</v>
      </c>
      <c r="E13" s="22"/>
    </row>
    <row r="14" spans="1:5" ht="15" x14ac:dyDescent="0.2">
      <c r="A14" s="9" t="s">
        <v>49</v>
      </c>
      <c r="B14" s="10" t="s">
        <v>38</v>
      </c>
      <c r="C14" s="11">
        <v>7515141.1200000001</v>
      </c>
      <c r="D14" s="11">
        <v>6368763.6610169495</v>
      </c>
      <c r="E14" s="22"/>
    </row>
    <row r="15" spans="1:5" ht="15" x14ac:dyDescent="0.2">
      <c r="A15" s="9" t="s">
        <v>50</v>
      </c>
      <c r="B15" s="10" t="s">
        <v>38</v>
      </c>
      <c r="C15" s="11">
        <v>2811992.96</v>
      </c>
      <c r="D15" s="11">
        <v>2383044.8813559324</v>
      </c>
      <c r="E15" s="22"/>
    </row>
    <row r="16" spans="1:5" ht="15" x14ac:dyDescent="0.2">
      <c r="A16" s="9" t="s">
        <v>51</v>
      </c>
      <c r="B16" s="10" t="s">
        <v>38</v>
      </c>
      <c r="C16" s="11">
        <v>341787.04</v>
      </c>
      <c r="D16" s="11">
        <v>289650.03389830509</v>
      </c>
      <c r="E16" s="22"/>
    </row>
    <row r="17" spans="1:7" ht="15" x14ac:dyDescent="0.2">
      <c r="A17" s="9" t="s">
        <v>52</v>
      </c>
      <c r="B17" s="10" t="s">
        <v>38</v>
      </c>
      <c r="C17" s="11">
        <v>566547.84</v>
      </c>
      <c r="D17" s="11">
        <v>480125.28813559323</v>
      </c>
      <c r="E17" s="22"/>
    </row>
    <row r="18" spans="1:7" ht="15" x14ac:dyDescent="0.2">
      <c r="A18" s="9" t="s">
        <v>53</v>
      </c>
      <c r="B18" s="10" t="s">
        <v>38</v>
      </c>
      <c r="C18" s="11">
        <v>1993342.0320000004</v>
      </c>
      <c r="D18" s="11">
        <v>1689272.9084745767</v>
      </c>
      <c r="E18" s="22"/>
    </row>
    <row r="19" spans="1:7" ht="15" x14ac:dyDescent="0.2">
      <c r="A19" s="9" t="s">
        <v>54</v>
      </c>
      <c r="B19" s="10" t="s">
        <v>55</v>
      </c>
      <c r="C19" s="11">
        <v>1369323</v>
      </c>
      <c r="D19" s="11">
        <v>1160443.22</v>
      </c>
      <c r="E19" s="22"/>
    </row>
    <row r="20" spans="1:7" ht="15" x14ac:dyDescent="0.2">
      <c r="A20" s="9" t="s">
        <v>56</v>
      </c>
      <c r="B20" s="10" t="s">
        <v>55</v>
      </c>
      <c r="C20" s="11">
        <v>764010</v>
      </c>
      <c r="D20" s="11">
        <v>647466.1</v>
      </c>
      <c r="E20" s="23"/>
      <c r="F20" s="23"/>
      <c r="G20" s="23"/>
    </row>
    <row r="21" spans="1:7" ht="15" x14ac:dyDescent="0.2">
      <c r="A21" s="9" t="s">
        <v>57</v>
      </c>
      <c r="B21" s="10" t="s">
        <v>55</v>
      </c>
      <c r="C21" s="11">
        <v>2557694</v>
      </c>
      <c r="D21" s="11">
        <v>2167537.29</v>
      </c>
      <c r="E21" s="23"/>
      <c r="F21" s="23"/>
      <c r="G21" s="23"/>
    </row>
    <row r="22" spans="1:7" ht="15" x14ac:dyDescent="0.2">
      <c r="A22" s="9" t="s">
        <v>58</v>
      </c>
      <c r="B22" s="10" t="s">
        <v>55</v>
      </c>
      <c r="C22" s="11">
        <v>599400</v>
      </c>
      <c r="D22" s="11">
        <v>507966.1</v>
      </c>
      <c r="E22" s="23"/>
      <c r="F22" s="23"/>
      <c r="G22" s="23"/>
    </row>
    <row r="23" spans="1:7" ht="15" x14ac:dyDescent="0.2">
      <c r="A23" s="9" t="s">
        <v>59</v>
      </c>
      <c r="B23" s="10" t="s">
        <v>55</v>
      </c>
      <c r="C23" s="11">
        <v>2569670</v>
      </c>
      <c r="D23" s="11">
        <v>2177686.44</v>
      </c>
      <c r="E23" s="23"/>
      <c r="F23" s="23"/>
      <c r="G23" s="23"/>
    </row>
    <row r="24" spans="1:7" ht="15" x14ac:dyDescent="0.2">
      <c r="A24" s="9" t="s">
        <v>60</v>
      </c>
      <c r="B24" s="10" t="s">
        <v>55</v>
      </c>
      <c r="C24" s="11">
        <v>854934</v>
      </c>
      <c r="D24" s="11">
        <v>724520.34</v>
      </c>
      <c r="E24" s="23"/>
      <c r="F24" s="23"/>
      <c r="G24" s="23"/>
    </row>
    <row r="25" spans="1:7" ht="15" x14ac:dyDescent="0.2">
      <c r="A25" s="9" t="s">
        <v>61</v>
      </c>
      <c r="B25" s="10" t="s">
        <v>55</v>
      </c>
      <c r="C25" s="11">
        <v>1960231</v>
      </c>
      <c r="D25" s="11">
        <v>1661212.71</v>
      </c>
      <c r="E25" s="23"/>
      <c r="F25" s="23"/>
      <c r="G25" s="23"/>
    </row>
    <row r="26" spans="1:7" ht="15" x14ac:dyDescent="0.2">
      <c r="A26" s="9" t="s">
        <v>62</v>
      </c>
      <c r="B26" s="10" t="s">
        <v>55</v>
      </c>
      <c r="C26" s="11">
        <v>12050659</v>
      </c>
      <c r="D26" s="11">
        <v>10212422.880000001</v>
      </c>
      <c r="E26" s="23"/>
      <c r="F26" s="23"/>
      <c r="G26" s="23"/>
    </row>
    <row r="27" spans="1:7" ht="15" x14ac:dyDescent="0.2">
      <c r="A27" s="61" t="s">
        <v>63</v>
      </c>
      <c r="B27" s="62"/>
      <c r="C27" s="12">
        <f>SUM(C3:C26)</f>
        <v>79969208.03199999</v>
      </c>
      <c r="D27" s="12">
        <f>SUM(D3:D26)</f>
        <v>67770515.276610166</v>
      </c>
      <c r="E27" s="23"/>
      <c r="G27" s="23"/>
    </row>
  </sheetData>
  <autoFilter ref="A2:D27" xr:uid="{00000000-0009-0000-0000-000007000000}"/>
  <mergeCells count="2">
    <mergeCell ref="A1:D1"/>
    <mergeCell ref="A27:B2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CB34A-E80A-4CF5-A631-D4C5638BDC15}">
  <dimension ref="A1:D27"/>
  <sheetViews>
    <sheetView zoomScaleNormal="100" workbookViewId="0">
      <pane xSplit="4" ySplit="1" topLeftCell="E2" activePane="bottomRight" state="frozen"/>
      <selection activeCell="T16" sqref="T16"/>
      <selection pane="topRight" activeCell="T16" sqref="T16"/>
      <selection pane="bottomLeft" activeCell="T16" sqref="T16"/>
      <selection pane="bottomRight" activeCell="H10" sqref="H10"/>
    </sheetView>
  </sheetViews>
  <sheetFormatPr baseColWidth="10" defaultRowHeight="14.25" x14ac:dyDescent="0.2"/>
  <cols>
    <col min="1" max="1" width="19" style="7" bestFit="1" customWidth="1"/>
    <col min="2" max="2" width="16.28515625" style="7" bestFit="1" customWidth="1"/>
    <col min="3" max="4" width="17" style="7" bestFit="1" customWidth="1"/>
    <col min="5" max="16384" width="11.42578125" style="7"/>
  </cols>
  <sheetData>
    <row r="1" spans="1:4" ht="15" x14ac:dyDescent="0.2">
      <c r="A1" s="58" t="s">
        <v>32</v>
      </c>
      <c r="B1" s="58"/>
      <c r="C1" s="58"/>
      <c r="D1" s="58"/>
    </row>
    <row r="2" spans="1:4" ht="45" x14ac:dyDescent="0.2">
      <c r="A2" s="8" t="s">
        <v>33</v>
      </c>
      <c r="B2" s="8" t="s">
        <v>70</v>
      </c>
      <c r="C2" s="8" t="s">
        <v>35</v>
      </c>
      <c r="D2" s="8" t="s">
        <v>36</v>
      </c>
    </row>
    <row r="3" spans="1:4" ht="15" x14ac:dyDescent="0.2">
      <c r="A3" s="9" t="s">
        <v>37</v>
      </c>
      <c r="B3" s="10" t="s">
        <v>38</v>
      </c>
      <c r="C3" s="11">
        <v>656993</v>
      </c>
      <c r="D3" s="11">
        <f>C3/1.18</f>
        <v>556773.7288135594</v>
      </c>
    </row>
    <row r="4" spans="1:4" ht="15" x14ac:dyDescent="0.2">
      <c r="A4" s="9" t="s">
        <v>39</v>
      </c>
      <c r="B4" s="10" t="s">
        <v>38</v>
      </c>
      <c r="C4" s="11">
        <v>9711184</v>
      </c>
      <c r="D4" s="11">
        <f t="shared" ref="D4:D26" si="0">C4/1.18</f>
        <v>8229816.9491525432</v>
      </c>
    </row>
    <row r="5" spans="1:4" ht="15" x14ac:dyDescent="0.2">
      <c r="A5" s="9" t="s">
        <v>40</v>
      </c>
      <c r="B5" s="10" t="s">
        <v>38</v>
      </c>
      <c r="C5" s="11">
        <v>10441564</v>
      </c>
      <c r="D5" s="11">
        <f t="shared" si="0"/>
        <v>8848783.0508474577</v>
      </c>
    </row>
    <row r="6" spans="1:4" ht="15" x14ac:dyDescent="0.2">
      <c r="A6" s="9" t="s">
        <v>41</v>
      </c>
      <c r="B6" s="10" t="s">
        <v>38</v>
      </c>
      <c r="C6" s="11">
        <v>2792231</v>
      </c>
      <c r="D6" s="11">
        <f>C6/1.18</f>
        <v>2366297.4576271186</v>
      </c>
    </row>
    <row r="7" spans="1:4" ht="15" x14ac:dyDescent="0.2">
      <c r="A7" s="9" t="s">
        <v>42</v>
      </c>
      <c r="B7" s="10" t="s">
        <v>38</v>
      </c>
      <c r="C7" s="11">
        <v>8118891</v>
      </c>
      <c r="D7" s="11">
        <f t="shared" si="0"/>
        <v>6880416.1016949154</v>
      </c>
    </row>
    <row r="8" spans="1:4" ht="15" x14ac:dyDescent="0.2">
      <c r="A8" s="9" t="s">
        <v>43</v>
      </c>
      <c r="B8" s="10" t="s">
        <v>38</v>
      </c>
      <c r="C8" s="11">
        <v>6736692</v>
      </c>
      <c r="D8" s="11">
        <f t="shared" si="0"/>
        <v>5709061.0169491526</v>
      </c>
    </row>
    <row r="9" spans="1:4" ht="15" x14ac:dyDescent="0.2">
      <c r="A9" s="9" t="s">
        <v>44</v>
      </c>
      <c r="B9" s="10" t="s">
        <v>38</v>
      </c>
      <c r="C9" s="11">
        <v>732360</v>
      </c>
      <c r="D9" s="11">
        <f t="shared" si="0"/>
        <v>620644.06779661018</v>
      </c>
    </row>
    <row r="10" spans="1:4" ht="15" x14ac:dyDescent="0.2">
      <c r="A10" s="9" t="s">
        <v>45</v>
      </c>
      <c r="B10" s="10" t="s">
        <v>38</v>
      </c>
      <c r="C10" s="11">
        <v>2386236</v>
      </c>
      <c r="D10" s="11">
        <f t="shared" si="0"/>
        <v>2022233.8983050848</v>
      </c>
    </row>
    <row r="11" spans="1:4" ht="15" x14ac:dyDescent="0.2">
      <c r="A11" s="9" t="s">
        <v>46</v>
      </c>
      <c r="B11" s="10" t="s">
        <v>38</v>
      </c>
      <c r="C11" s="11">
        <v>1635142</v>
      </c>
      <c r="D11" s="11">
        <f t="shared" si="0"/>
        <v>1385713.559322034</v>
      </c>
    </row>
    <row r="12" spans="1:4" ht="15" x14ac:dyDescent="0.2">
      <c r="A12" s="9" t="s">
        <v>47</v>
      </c>
      <c r="B12" s="10" t="s">
        <v>38</v>
      </c>
      <c r="C12" s="11">
        <v>725020</v>
      </c>
      <c r="D12" s="11">
        <f t="shared" si="0"/>
        <v>614423.7288135594</v>
      </c>
    </row>
    <row r="13" spans="1:4" ht="15" x14ac:dyDescent="0.2">
      <c r="A13" s="9" t="s">
        <v>48</v>
      </c>
      <c r="B13" s="10" t="s">
        <v>38</v>
      </c>
      <c r="C13" s="11">
        <v>108955</v>
      </c>
      <c r="D13" s="11">
        <f t="shared" si="0"/>
        <v>92334.745762711871</v>
      </c>
    </row>
    <row r="14" spans="1:4" ht="15" x14ac:dyDescent="0.2">
      <c r="A14" s="9" t="s">
        <v>49</v>
      </c>
      <c r="B14" s="10" t="s">
        <v>38</v>
      </c>
      <c r="C14" s="11">
        <v>7515141</v>
      </c>
      <c r="D14" s="11">
        <f t="shared" si="0"/>
        <v>6368763.559322034</v>
      </c>
    </row>
    <row r="15" spans="1:4" ht="15" x14ac:dyDescent="0.2">
      <c r="A15" s="9" t="s">
        <v>50</v>
      </c>
      <c r="B15" s="10" t="s">
        <v>38</v>
      </c>
      <c r="C15" s="11">
        <v>2811993</v>
      </c>
      <c r="D15" s="11">
        <f t="shared" si="0"/>
        <v>2383044.9152542376</v>
      </c>
    </row>
    <row r="16" spans="1:4" ht="15" x14ac:dyDescent="0.2">
      <c r="A16" s="9" t="s">
        <v>51</v>
      </c>
      <c r="B16" s="10" t="s">
        <v>38</v>
      </c>
      <c r="C16" s="11">
        <v>341787</v>
      </c>
      <c r="D16" s="11">
        <f t="shared" si="0"/>
        <v>289650</v>
      </c>
    </row>
    <row r="17" spans="1:4" ht="15" x14ac:dyDescent="0.2">
      <c r="A17" s="9" t="s">
        <v>52</v>
      </c>
      <c r="B17" s="10" t="s">
        <v>38</v>
      </c>
      <c r="C17" s="11">
        <v>566548</v>
      </c>
      <c r="D17" s="11">
        <f t="shared" si="0"/>
        <v>480125.42372881359</v>
      </c>
    </row>
    <row r="18" spans="1:4" ht="15" x14ac:dyDescent="0.2">
      <c r="A18" s="9" t="s">
        <v>53</v>
      </c>
      <c r="B18" s="10" t="s">
        <v>38</v>
      </c>
      <c r="C18" s="11">
        <v>1993342</v>
      </c>
      <c r="D18" s="11">
        <f t="shared" si="0"/>
        <v>1689272.8813559322</v>
      </c>
    </row>
    <row r="19" spans="1:4" ht="15" x14ac:dyDescent="0.2">
      <c r="A19" s="9" t="s">
        <v>54</v>
      </c>
      <c r="B19" s="10" t="s">
        <v>55</v>
      </c>
      <c r="C19" s="11">
        <v>1369323</v>
      </c>
      <c r="D19" s="11">
        <f t="shared" si="0"/>
        <v>1160443.220338983</v>
      </c>
    </row>
    <row r="20" spans="1:4" ht="15" x14ac:dyDescent="0.2">
      <c r="A20" s="9" t="s">
        <v>56</v>
      </c>
      <c r="B20" s="10" t="s">
        <v>55</v>
      </c>
      <c r="C20" s="11">
        <v>764010</v>
      </c>
      <c r="D20" s="11">
        <f t="shared" si="0"/>
        <v>647466.10169491533</v>
      </c>
    </row>
    <row r="21" spans="1:4" ht="15" x14ac:dyDescent="0.2">
      <c r="A21" s="9" t="s">
        <v>57</v>
      </c>
      <c r="B21" s="10" t="s">
        <v>55</v>
      </c>
      <c r="C21" s="11">
        <v>2557694</v>
      </c>
      <c r="D21" s="11">
        <f t="shared" si="0"/>
        <v>2167537.2881355933</v>
      </c>
    </row>
    <row r="22" spans="1:4" ht="15" x14ac:dyDescent="0.2">
      <c r="A22" s="9" t="s">
        <v>58</v>
      </c>
      <c r="B22" s="10" t="s">
        <v>55</v>
      </c>
      <c r="C22" s="11">
        <v>599400</v>
      </c>
      <c r="D22" s="11">
        <f t="shared" si="0"/>
        <v>507966.10169491527</v>
      </c>
    </row>
    <row r="23" spans="1:4" ht="15" x14ac:dyDescent="0.2">
      <c r="A23" s="9" t="s">
        <v>59</v>
      </c>
      <c r="B23" s="10" t="s">
        <v>55</v>
      </c>
      <c r="C23" s="11">
        <v>2569670</v>
      </c>
      <c r="D23" s="11">
        <f t="shared" si="0"/>
        <v>2177686.440677966</v>
      </c>
    </row>
    <row r="24" spans="1:4" ht="15" x14ac:dyDescent="0.2">
      <c r="A24" s="9" t="s">
        <v>60</v>
      </c>
      <c r="B24" s="10" t="s">
        <v>55</v>
      </c>
      <c r="C24" s="11">
        <v>854934</v>
      </c>
      <c r="D24" s="11">
        <f t="shared" si="0"/>
        <v>724520.3389830509</v>
      </c>
    </row>
    <row r="25" spans="1:4" ht="15" x14ac:dyDescent="0.2">
      <c r="A25" s="9" t="s">
        <v>61</v>
      </c>
      <c r="B25" s="10" t="s">
        <v>55</v>
      </c>
      <c r="C25" s="11">
        <v>1960231</v>
      </c>
      <c r="D25" s="11">
        <f t="shared" si="0"/>
        <v>1661212.7118644069</v>
      </c>
    </row>
    <row r="26" spans="1:4" ht="15" x14ac:dyDescent="0.2">
      <c r="A26" s="9" t="s">
        <v>62</v>
      </c>
      <c r="B26" s="10" t="s">
        <v>55</v>
      </c>
      <c r="C26" s="11">
        <v>12050659</v>
      </c>
      <c r="D26" s="11">
        <f t="shared" si="0"/>
        <v>10212422.881355932</v>
      </c>
    </row>
    <row r="27" spans="1:4" ht="15" x14ac:dyDescent="0.2">
      <c r="A27" s="61" t="s">
        <v>63</v>
      </c>
      <c r="B27" s="62"/>
      <c r="C27" s="12">
        <f>SUM(C3:C26)</f>
        <v>80000000</v>
      </c>
      <c r="D27" s="12">
        <f>SUM(D3:D26)</f>
        <v>67796610.169491529</v>
      </c>
    </row>
  </sheetData>
  <autoFilter ref="A2:D27" xr:uid="{00000000-0009-0000-0000-000006000000}"/>
  <mergeCells count="2">
    <mergeCell ref="A1:D1"/>
    <mergeCell ref="A27:B2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EC503-AE2A-42A2-B99A-0672EDCFE4B8}">
  <dimension ref="A1:F27"/>
  <sheetViews>
    <sheetView zoomScaleNormal="100" workbookViewId="0">
      <pane xSplit="4" ySplit="1" topLeftCell="E2" activePane="bottomRight" state="frozen"/>
      <selection activeCell="T16" sqref="T16"/>
      <selection pane="topRight" activeCell="T16" sqref="T16"/>
      <selection pane="bottomLeft" activeCell="T16" sqref="T16"/>
      <selection pane="bottomRight" sqref="A1:XFD1048576"/>
    </sheetView>
  </sheetViews>
  <sheetFormatPr baseColWidth="10" defaultColWidth="17.28515625" defaultRowHeight="15" x14ac:dyDescent="0.25"/>
  <cols>
    <col min="1" max="1" width="17.28515625" style="1"/>
    <col min="2" max="2" width="14" style="6" customWidth="1"/>
    <col min="3" max="16384" width="17.28515625" style="1"/>
  </cols>
  <sheetData>
    <row r="1" spans="1:6" x14ac:dyDescent="0.25">
      <c r="A1" s="58" t="s">
        <v>0</v>
      </c>
      <c r="B1" s="58"/>
      <c r="C1" s="58"/>
      <c r="D1" s="58"/>
    </row>
    <row r="2" spans="1:6" ht="60" x14ac:dyDescent="0.25">
      <c r="A2" s="13" t="s">
        <v>1</v>
      </c>
      <c r="B2" s="13" t="s">
        <v>69</v>
      </c>
      <c r="C2" s="13" t="s">
        <v>2</v>
      </c>
      <c r="D2" s="13" t="s">
        <v>3</v>
      </c>
    </row>
    <row r="3" spans="1:6" x14ac:dyDescent="0.25">
      <c r="A3" s="14" t="s">
        <v>4</v>
      </c>
      <c r="B3" s="15" t="s">
        <v>5</v>
      </c>
      <c r="C3" s="16">
        <v>5151073.2</v>
      </c>
      <c r="D3" s="16">
        <v>4365316.2711864412</v>
      </c>
      <c r="F3" s="2"/>
    </row>
    <row r="4" spans="1:6" x14ac:dyDescent="0.25">
      <c r="A4" s="14" t="s">
        <v>6</v>
      </c>
      <c r="B4" s="15" t="s">
        <v>5</v>
      </c>
      <c r="C4" s="16">
        <v>5279670.4400000004</v>
      </c>
      <c r="D4" s="16">
        <v>4474296.9830508484</v>
      </c>
      <c r="F4" s="2"/>
    </row>
    <row r="5" spans="1:6" x14ac:dyDescent="0.25">
      <c r="A5" s="14" t="s">
        <v>7</v>
      </c>
      <c r="B5" s="15" t="s">
        <v>8</v>
      </c>
      <c r="C5" s="16">
        <v>2378610</v>
      </c>
      <c r="D5" s="16">
        <v>2015771.19</v>
      </c>
      <c r="F5" s="2"/>
    </row>
    <row r="6" spans="1:6" x14ac:dyDescent="0.25">
      <c r="A6" s="14" t="s">
        <v>9</v>
      </c>
      <c r="B6" s="15" t="s">
        <v>8</v>
      </c>
      <c r="C6" s="16">
        <v>3908377.82</v>
      </c>
      <c r="D6" s="16">
        <v>3312184.5932203392</v>
      </c>
      <c r="F6" s="2"/>
    </row>
    <row r="7" spans="1:6" x14ac:dyDescent="0.25">
      <c r="A7" s="14" t="s">
        <v>10</v>
      </c>
      <c r="B7" s="15" t="s">
        <v>5</v>
      </c>
      <c r="C7" s="16">
        <v>2197072.7999999998</v>
      </c>
      <c r="D7" s="16">
        <v>1861926.1</v>
      </c>
      <c r="F7" s="2"/>
    </row>
    <row r="8" spans="1:6" x14ac:dyDescent="0.25">
      <c r="A8" s="14" t="s">
        <v>11</v>
      </c>
      <c r="B8" s="15" t="s">
        <v>12</v>
      </c>
      <c r="C8" s="16">
        <v>7648154.7999999998</v>
      </c>
      <c r="D8" s="16">
        <v>6481487.118644068</v>
      </c>
    </row>
    <row r="9" spans="1:6" x14ac:dyDescent="0.25">
      <c r="A9" s="14" t="s">
        <v>13</v>
      </c>
      <c r="B9" s="15" t="s">
        <v>5</v>
      </c>
      <c r="C9" s="16">
        <v>2218272.0299999998</v>
      </c>
      <c r="D9" s="16">
        <v>1879891.5508474575</v>
      </c>
    </row>
    <row r="10" spans="1:6" x14ac:dyDescent="0.25">
      <c r="A10" s="14" t="s">
        <v>14</v>
      </c>
      <c r="B10" s="15" t="s">
        <v>8</v>
      </c>
      <c r="C10" s="16">
        <v>11628380.859999999</v>
      </c>
      <c r="D10" s="16">
        <v>9854560.0762711875</v>
      </c>
    </row>
    <row r="11" spans="1:6" x14ac:dyDescent="0.25">
      <c r="A11" s="14" t="s">
        <v>15</v>
      </c>
      <c r="B11" s="15" t="s">
        <v>5</v>
      </c>
      <c r="C11" s="16">
        <v>1272234.5999999999</v>
      </c>
      <c r="D11" s="16">
        <v>1078138.03</v>
      </c>
    </row>
    <row r="12" spans="1:6" x14ac:dyDescent="0.25">
      <c r="A12" s="14" t="s">
        <v>16</v>
      </c>
      <c r="B12" s="15" t="s">
        <v>5</v>
      </c>
      <c r="C12" s="16">
        <v>893821.5</v>
      </c>
      <c r="D12" s="16">
        <v>757475.84745762718</v>
      </c>
    </row>
    <row r="13" spans="1:6" x14ac:dyDescent="0.25">
      <c r="A13" s="14" t="s">
        <v>17</v>
      </c>
      <c r="B13" s="15" t="s">
        <v>5</v>
      </c>
      <c r="C13" s="16">
        <v>1079184.6000000001</v>
      </c>
      <c r="D13" s="16">
        <v>914563.22033898323</v>
      </c>
    </row>
    <row r="14" spans="1:6" x14ac:dyDescent="0.25">
      <c r="A14" s="14" t="s">
        <v>18</v>
      </c>
      <c r="B14" s="15" t="s">
        <v>5</v>
      </c>
      <c r="C14" s="16">
        <v>2393112.15</v>
      </c>
      <c r="D14" s="16">
        <v>2028063.6864406781</v>
      </c>
    </row>
    <row r="15" spans="1:6" x14ac:dyDescent="0.25">
      <c r="A15" s="14" t="s">
        <v>19</v>
      </c>
      <c r="B15" s="15" t="s">
        <v>12</v>
      </c>
      <c r="C15" s="16">
        <v>1617511.61</v>
      </c>
      <c r="D15" s="16">
        <v>1370772.5508474577</v>
      </c>
    </row>
    <row r="16" spans="1:6" x14ac:dyDescent="0.25">
      <c r="A16" s="14" t="s">
        <v>20</v>
      </c>
      <c r="B16" s="17" t="s">
        <v>5</v>
      </c>
      <c r="C16" s="16">
        <v>2094729.05</v>
      </c>
      <c r="D16" s="16">
        <v>1775194.1101694917</v>
      </c>
    </row>
    <row r="17" spans="1:4" x14ac:dyDescent="0.25">
      <c r="A17" s="14" t="s">
        <v>21</v>
      </c>
      <c r="B17" s="18" t="s">
        <v>5</v>
      </c>
      <c r="C17" s="19">
        <v>921351.6</v>
      </c>
      <c r="D17" s="20">
        <v>780806.44067796611</v>
      </c>
    </row>
    <row r="18" spans="1:4" x14ac:dyDescent="0.25">
      <c r="A18" s="21" t="s">
        <v>22</v>
      </c>
      <c r="B18" s="18" t="s">
        <v>5</v>
      </c>
      <c r="C18" s="19">
        <v>418957.45</v>
      </c>
      <c r="D18" s="20">
        <v>355048.68644067802</v>
      </c>
    </row>
    <row r="19" spans="1:4" x14ac:dyDescent="0.25">
      <c r="A19" s="21" t="s">
        <v>23</v>
      </c>
      <c r="B19" s="18" t="s">
        <v>5</v>
      </c>
      <c r="C19" s="19">
        <v>1429681.05</v>
      </c>
      <c r="D19" s="20">
        <v>1211594.1101694917</v>
      </c>
    </row>
    <row r="20" spans="1:4" x14ac:dyDescent="0.25">
      <c r="A20" s="21" t="s">
        <v>24</v>
      </c>
      <c r="B20" s="18" t="s">
        <v>5</v>
      </c>
      <c r="C20" s="19">
        <v>1012934.65</v>
      </c>
      <c r="D20" s="20">
        <v>858419.19491525425</v>
      </c>
    </row>
    <row r="21" spans="1:4" x14ac:dyDescent="0.25">
      <c r="A21" s="21" t="s">
        <v>25</v>
      </c>
      <c r="B21" s="18" t="s">
        <v>5</v>
      </c>
      <c r="C21" s="19">
        <v>2078879.4</v>
      </c>
      <c r="D21" s="20">
        <v>1761762.2033898304</v>
      </c>
    </row>
    <row r="22" spans="1:4" x14ac:dyDescent="0.25">
      <c r="A22" s="21" t="s">
        <v>26</v>
      </c>
      <c r="B22" s="18" t="s">
        <v>5</v>
      </c>
      <c r="C22" s="19">
        <v>192301</v>
      </c>
      <c r="D22" s="20">
        <v>162967.11864406781</v>
      </c>
    </row>
    <row r="23" spans="1:4" x14ac:dyDescent="0.25">
      <c r="A23" s="21" t="s">
        <v>27</v>
      </c>
      <c r="B23" s="18" t="s">
        <v>12</v>
      </c>
      <c r="C23" s="19">
        <v>179697.38</v>
      </c>
      <c r="D23" s="20">
        <v>152285.9152542373</v>
      </c>
    </row>
    <row r="24" spans="1:4" x14ac:dyDescent="0.25">
      <c r="A24" s="21" t="s">
        <v>28</v>
      </c>
      <c r="B24" s="18" t="s">
        <v>12</v>
      </c>
      <c r="C24" s="19">
        <v>253461</v>
      </c>
      <c r="D24" s="20">
        <v>214797.45762711865</v>
      </c>
    </row>
    <row r="25" spans="1:4" x14ac:dyDescent="0.25">
      <c r="A25" s="21" t="s">
        <v>29</v>
      </c>
      <c r="B25" s="18" t="s">
        <v>5</v>
      </c>
      <c r="C25" s="19">
        <v>301476.63</v>
      </c>
      <c r="D25" s="20">
        <v>255488.66949152545</v>
      </c>
    </row>
    <row r="26" spans="1:4" x14ac:dyDescent="0.25">
      <c r="A26" s="21" t="s">
        <v>30</v>
      </c>
      <c r="B26" s="18" t="s">
        <v>5</v>
      </c>
      <c r="C26" s="19">
        <v>579532.41</v>
      </c>
      <c r="D26" s="20">
        <v>491129.16101694922</v>
      </c>
    </row>
    <row r="27" spans="1:4" x14ac:dyDescent="0.25">
      <c r="A27" s="3" t="s">
        <v>31</v>
      </c>
      <c r="B27" s="5"/>
      <c r="C27" s="4">
        <f>SUM(C3:C26)</f>
        <v>57128478.030000001</v>
      </c>
      <c r="D27" s="4">
        <f>SUM(D3:D26)</f>
        <v>48413940.286101691</v>
      </c>
    </row>
  </sheetData>
  <autoFilter ref="A2:D27" xr:uid="{00000000-0009-0000-0000-000005000000}"/>
  <mergeCells count="1">
    <mergeCell ref="A1:D1"/>
  </mergeCells>
  <printOptions horizontalCentered="1" verticalCentered="1"/>
  <pageMargins left="0" right="0" top="0.55118110236220474" bottom="0.35433070866141736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SAC 2025-2026</vt:lpstr>
      <vt:lpstr>SAC 2024-2025</vt:lpstr>
      <vt:lpstr>SAC 2023-2024</vt:lpstr>
      <vt:lpstr>SAC 2022-2023</vt:lpstr>
      <vt:lpstr>SAC 2021-2022</vt:lpstr>
      <vt:lpstr>SAC 2020-2021</vt:lpstr>
      <vt:lpstr>'SAC 2025-2026'!Área_de_impresión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Díaz Caycho</dc:creator>
  <cp:lastModifiedBy>LENOVO</cp:lastModifiedBy>
  <dcterms:created xsi:type="dcterms:W3CDTF">2026-03-30T15:38:59Z</dcterms:created>
  <dcterms:modified xsi:type="dcterms:W3CDTF">2026-03-30T15:55:13Z</dcterms:modified>
</cp:coreProperties>
</file>