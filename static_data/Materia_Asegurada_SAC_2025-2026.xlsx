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https://d.docs.live.net/77dd6ef53b10ea19/Escritorio/carpeta de cowork/reporte automatizado sac/"/>
    </mc:Choice>
  </mc:AlternateContent>
  <xr:revisionPtr revIDLastSave="0" documentId="11_D3D87617FD337B0DD8CD4D844773F20E2A62B51C" xr6:coauthVersionLast="47" xr6:coauthVersionMax="47" xr10:uidLastSave="{00000000-0000-0000-0000-000000000000}"/>
  <bookViews>
    <workbookView xWindow="-120" yWindow="-120" windowWidth="20730" windowHeight="11160" tabRatio="500" xr2:uid="{00000000-000D-0000-FFFF-FFFF00000000}"/>
  </bookViews>
  <sheets>
    <sheet name="Materia Asegurada SAC 2025-2026" sheetId="1" r:id="rId1"/>
  </sheets>
  <definedNames>
    <definedName name="_xlnm._FilterDatabase" localSheetId="0" hidden="1">'Materia Asegurada SAC 2025-2026'!$A$3:$P$27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28" i="1" l="1"/>
  <c r="L28" i="1"/>
  <c r="K28" i="1"/>
  <c r="F28" i="1"/>
  <c r="E28" i="1"/>
</calcChain>
</file>

<file path=xl/sharedStrings.xml><?xml version="1.0" encoding="utf-8"?>
<sst xmlns="http://schemas.openxmlformats.org/spreadsheetml/2006/main" count="138" uniqueCount="103">
  <si>
    <t>MATERIA ASEGURADA - SEGURO AGRÍCOLA CATASTRÓFICO (SAC) 2025-2026</t>
  </si>
  <si>
    <t>Departamento</t>
  </si>
  <si>
    <t>Capital</t>
  </si>
  <si>
    <t>Empresa Aseguradora</t>
  </si>
  <si>
    <t>Cultivos Asegurados</t>
  </si>
  <si>
    <t>Prima Total S/</t>
  </si>
  <si>
    <t>Prima Neta (sin IGV) S/</t>
  </si>
  <si>
    <t>Tasa Prima/Ha (con IGV)</t>
  </si>
  <si>
    <t>Tasa Prima/Ha (sin IGV)</t>
  </si>
  <si>
    <t>Suma Asegurada/Ha</t>
  </si>
  <si>
    <t>Costo/Ha</t>
  </si>
  <si>
    <t>Superficie Asegurada (ha)</t>
  </si>
  <si>
    <t>Productores Asegurados (est.)</t>
  </si>
  <si>
    <t>Valores Asegurados (S/)</t>
  </si>
  <si>
    <t>Disparador</t>
  </si>
  <si>
    <t>Responsable del SAC</t>
  </si>
  <si>
    <t>Ajustadores Responsables</t>
  </si>
  <si>
    <t>Chachapoyas</t>
  </si>
  <si>
    <t>La Positiva</t>
  </si>
  <si>
    <t>Café, arroz, maíz amarillo duro, plátano, papa, maíz amiláceo, frijol grano seco, yuca, cacao, arveja grano verde, maíz choclo, pasto gramalote, rye grass, limón sutíl, grama chilena, piña, frijol grano verde, mango, pasto brachiaria, yacón, rocoto, olluco, caña de azúcar.</t>
  </si>
  <si>
    <t>Ing. Mayorga Barrera Vargas
945268432
mayorgabarrera@gmail.com   
estadisticaagraria@draamazonas.gob.pe</t>
  </si>
  <si>
    <t>Bernabe Nuñez Moreno
999048302
bnunes@agroevaluaciones.com</t>
  </si>
  <si>
    <t>Huaraz</t>
  </si>
  <si>
    <t>Maíz amarillo duro, trigo, papa, maíz miláceo, arroz, mango, maíz choclo, arveja grano seco, palto, arveja grano verde, espárrago, yuca, haba grano verde, ají</t>
  </si>
  <si>
    <t>Ing. Miguel Barrenechea Padilla
949539855
miguelbp24@gmail.com</t>
  </si>
  <si>
    <t>Yanela Pardo Evaristo
986588377
ypardo@agroevaluaciones.com</t>
  </si>
  <si>
    <t>Arequipa</t>
  </si>
  <si>
    <t>Alfalfa, arroz, papa, cebolla, ajo, maíz chala, maíz amiláceo, olivo, frijol grano seco, quinua,  arveja grano verde, trigo, zanahoria, zapallo, haba grano verde, palto, cebada grano, vid, maíz choclo, paprika, tomate, maíz amarillo duro, ají, algodón, camote, avena forrajera, alcachofa, caña de azúcar, maíz morado, cebada forrajera, olluco, tuna, oca, melocotonero, sandía, manzano, arveja grano seco, pera, yuca, haba grano seco, higuera, caigua, pacae, pecano</t>
  </si>
  <si>
    <t>Técn. Hugo Duran Condori
 941 683 785 / 950 091 527 
jaju24@hotmail.com   
jaju8446@gmail.com</t>
  </si>
  <si>
    <t>Geronimo Quispe 
999998269
gquispe@agroevaluaciones.com</t>
  </si>
  <si>
    <t>Cusco</t>
  </si>
  <si>
    <t>Maíz amiláceo, avena forrajera, papa nativa, cebada grano, papa color, café, cacao, haba grano seco, trigo, naranjo,  maíz amarillo duro, avena grano seco, papa blanca mejorada, yuca, olluoc, quinua, mandarina, plátano, tarwi, arveja grano seco, frijol grano seco, maíz choclo, oca, cebada forrajera, haba grano verde, cañihua, arveja grano verde, piña, papaya, kiwicha.</t>
  </si>
  <si>
    <t>Econ. Antonio Garcia Fernández
974460867
toniocusco2022@hotmail.com
Ing. Dionel Vizcardo Puma
dvizcardo2@hotmail.com
984465637</t>
  </si>
  <si>
    <t>Darwin Orihuela Azcarsa
973598281
dorihuela@agroevaluaciones.com</t>
  </si>
  <si>
    <t>Huancavelica</t>
  </si>
  <si>
    <t>Papa, maíz amiláceo, cebada grano, frijol grano seco, haba grano seco, arveja grano verde, trigo, arveja grano seco, palto, quinua, haba grano verde, olluco, maíz choclo, linaza, chocho o tarwi, maíz amarillo duro, maca, oca, ajo, mashua.</t>
  </si>
  <si>
    <t>Elias Cárdenas Benito
967722879
ecardenasbenito@gmail.com</t>
  </si>
  <si>
    <t>Francisca Del Pilar Gálvez Tupia
936686400
gquispe@agroevaluaciones.com</t>
  </si>
  <si>
    <t>Huánuco</t>
  </si>
  <si>
    <t>Papa, maíz amiláceo, plátano, maíz amarillo duro, cacao, trigo, café, cebada grano, arroz, yuca, frijol grano seco, haba grano seco, arveja grano verde, olluco, arveja grano seco, chocho o tarwi grano seco, zapallo, quinua, haba grano verde, palto, frijol grano verde, granadilla, rocoto, maíz choclo, aguaymanto, camote, oca, maíz morado, avena, durazno, mashua, alfalfa, fresa, apio, tomate, brócoli, zanahoria, mani.</t>
  </si>
  <si>
    <t>Carmela Trujillo León
ctrujilloleon@hotmail.com
962560046</t>
  </si>
  <si>
    <t>Yanela Pardo Evaristo
986588377
pgalvez@agroevaluaciones.com</t>
  </si>
  <si>
    <t>Huancayo</t>
  </si>
  <si>
    <t>Papa, café, cacao, plátano, maíz choclo, maíz amiláceo, naranjo, yuca, maíz amarillo duro, arveja grano verde, cebada grano, frijol grano seco, quinua, olluco, haba grano verde, haba grano seco, jenjibre, avena forrajera, trigo, piña, palto, arveja grano seco, zanahoria, maca, alfalfa, ajo, espinaca, mashua o izano, oca, lechuga, rocoto, brócoli, cebada forrajera, zapallo, granadilla, arroz, chocho o tarwi, linaza, alcachofa, apio, col, coliflor, ají, culantro, manzanilla, beterraga, cebollita china, col</t>
  </si>
  <si>
    <t>Ing. Jesús Ayquipa Martínez
982083911
jayquipadraj@gmail.com</t>
  </si>
  <si>
    <t>Trujillo</t>
  </si>
  <si>
    <t>Trigo, arroz, cebada grano, papa, maíz amiláceo, maíz amarillo duro, arveja grano seco, espárrago, palto, caña de azúcar, haba grano seco, alfalfa, chocho o tarhui grano seco, maíz chala, frijol grano seco, frijol loctao grano seco, lenteja grano seco, olluco, vid, maracuyá, yuca, quinua, arveja grano verde, maíz choclo, oca, avena forrajera, cebolla, piña, alcachofa, ñuña grano seco, sandía, arandano, tara, banano, zapallo, camote, pallar baby grano seco, pepinillo, frijol de palo grano seco, mango, brócoli, tomate, zanahoria, haba grano verde, granadilla, ají escabeche, plátano, linaza, pimiento, membrillo, ajo, col o repollo, zarandaja grano seco, limón sutil, ciruelo, chia, papaya, maíz morado, granado, pitahaja, garbanzo grano seco, manzana, naranjo, pepino, melocotonero, melón, lúcuma, páprika, tuna, pecano, mandarina, chirimoya, cerezo, pacae</t>
  </si>
  <si>
    <t>Sr. Segundo Vergara
955910822
gra_oia@regionlalibertad.gob.pe</t>
  </si>
  <si>
    <t>Chiclayo</t>
  </si>
  <si>
    <t>Arroz, maíz amarillo duro, mango, frijol palo grano verde, café, maíz amiláceo, camote, maíz choclo, caña de azúcar, yuca, algodón, zarandaja grano seco, espárrago, limón, maíz chala, trigo, maracuyá, arveja grano verde, palto, frijol palo grano seco, cebolla, frijol caupi grano seco, banano orgánico, alfalfa, papa, pallar grano seco, plátano, olluco, frijol grano seco, arveja grano seco, sandia, tomate, zanahoria, haba grano seco, naranja, ají páprika, zapallo, mamey, zapallo loche, cebada grano, papaya, cacao, beterraga, lima,  chirimoya, lechuga, rabanito, col, granadilla, aguaymanto, ají, arándano, caña para chancaca.</t>
  </si>
  <si>
    <t>Ing. Estuardo Diaz Alvarado
974975656
ediasalvarado@gmail.com
dir.eje.informacion.agraria-gra@regionlambayeque.gob.pe</t>
  </si>
  <si>
    <t>Lima</t>
  </si>
  <si>
    <t>Maíz amarillo duro, palto, manzano, papa, alfalfa, mandarina, camote, maíz chala, vid, tuna, melocotón, frijol caupi o castilla grano seco, chirimoya, maíz choclo, ají, arveja grano verde, lechuga, cebolla, tomate, maíz amiláceo, brócoli, fresa, membrillo, maíz morado, frijol grano seco, haba grano verde, maracuyá, betarraga, ajo, frijol vainita, culantro, apio, trigo, yuca, cebada grano, lúcuma, naranjo, zapallo, plátano, olluco, pimiento, pepinillo, col o repollo, coliflor, espárrago, espinaca, tangelo, haba grano seco, poro, cebolla china, zanahoria, rábano, pitahaya, albahaca, algodón, perejil, oca, col china, frijol grano verde, zapallo italiano, acelga, nispero, nabo, mango, kaki, caña de azúcar, sandía, pera, pecano, olivo, melón, pepino, pallar grano verde, ciruelo, damasco, flores corte, caigua, ho lan tao, grass americano, paprika, higuera, berenjena, guayaba, pacae, granada, trigo, arandano, hierba luisa, trebol blanco, ray grass, lima, quinua, mashua, granadilla, arveja grano seco, avena, guanabana,  tumbo, trigo blando.</t>
  </si>
  <si>
    <t>Adriana Aguirre Blancas (Lima Metropolitana)
954640488
aaguirre@pgrlm.gob.pe 
Mag. Yosimar Poma Rey (Lima Provincias)
994350057
ypoma.oia.dral@gmail.com</t>
  </si>
  <si>
    <t>Iquitos</t>
  </si>
  <si>
    <t>Plátano, yuca, arroz, maíz amarillo duro, frijol caupi o castilla grano seco, cacao, frijol grano seco, camu camu, pasto toro urco, caña de azúcar, papaya, pasto elefante, mani (fruta), palma aceitera, zapallo</t>
  </si>
  <si>
    <t>Ing. Clever Arévalo Pinedo
cleverarevalopinedo62@gmail.com 
920887746
Pamela Cubillas
947698800
pamelitacubillas@gmail.com</t>
  </si>
  <si>
    <t>Yamel Nuñez Moreno
932234593
ynunes@agroevaluaciones.com</t>
  </si>
  <si>
    <t>Madre de Dios</t>
  </si>
  <si>
    <t>Maíz amarillo duro, cacao, plátano, arroz, yuca, papaya, piña, copoazu, limón</t>
  </si>
  <si>
    <t>Ing. Hermógenes Mora Toledo
918569670
hmoratoledo@gmail.com</t>
  </si>
  <si>
    <t>Cerro de Pasco</t>
  </si>
  <si>
    <t>Pasto brachearia, café, pasto setarea, papa, plátano, cacao, yuca, maíz amarillo duro, achiote, maíz amiláceo, granadilla, rocoto, palto, arroz, maíz choclo, olluco, arveja grano verde, zapallo, frijol grano seco, haba grano seco, haba grano verde, caigua, oca, alfalfa, calabaza, ají, pastos asociados, trigo, arveja grano seco, papaya, maca, cebada, pasto rye grass, aguaymanto, pasto dactylis, avena forrajera, pituca, chirimoya, lechuga, piña, caña de azúcar</t>
  </si>
  <si>
    <t>Ing. Margarita Diaz Barrios
934297420
margarita.diazb3@gmail.com
Elizabeth Aramburú
963711463
aramburu35@gmail.com</t>
  </si>
  <si>
    <t>Piura</t>
  </si>
  <si>
    <t>Arroz, mango, maíz amarillo duro, limón, maíz amiláceo, frijol grano seco, trigo, banano, arveja grano seco, café, plátano, algodón, papa, yuca, pasto castilla, frijol castilla, caña de azúcar, cacao, pasto elefante, camote, maracuyá, haba grano seco, cebolla, sandía, pasto gramalote, arveja grano verde, maní, maíz choclo, soya, cebada grano, oca, frijol loctao grano seco, mango ciruelo, olluco, tomate, papaya, ajo, zapallo, zanahoria, frijol de palo grano seco, melón, pimiento, tara, sorgo escobero, palta, vid, tamarindo, ají páprika, naranjo, ají piquillo, pitahaya, cocotero, granadilla, guanábana, beterraga, flores, alfalfa, lima, culantro, sorgo, moringa, repollo, mamey cacao,</t>
  </si>
  <si>
    <t>Ing. Jorge Castillo
996016166
joredi50@gmail.com</t>
  </si>
  <si>
    <t>Puno</t>
  </si>
  <si>
    <t>Avena forrajera, papa, quinua, cebada grano, haba grano seco, cañihua, café, maíz amiláceo, oca, naranjo, yuca, maíz amarillo duro, pituca, mandarina, piña, plátano</t>
  </si>
  <si>
    <t>Ing. Germán Cutipa Flores
951043263
gercuti@yahoo.es</t>
  </si>
  <si>
    <t>Moyobamba</t>
  </si>
  <si>
    <t>Arroz, cacao, maíz amarillo duro, café, plátano, yuca, braquearia, palma aceitera, frijol grano seco, mani fruta, papaya, frijol caupi grano seco, naranjo, pasto elefante, cocotero, piña, sacha inchi, limón sutil, pijuayo palmito, pasto toro urco, mango</t>
  </si>
  <si>
    <t>Melvin Pinedo Amacifuen
932016833
mgpinedo@gmail.com
Ing Elias Bartra Reategui
eliasbr05.01.70@gmail.com
945 319 967</t>
  </si>
  <si>
    <t>Tacna</t>
  </si>
  <si>
    <t>Alfalfa, orégano, maíz chala, ají, maíz amiláceo, zapallo, papa, quinua, palto, vid, frijol vainita, manzano, haba grano verde, cebolla, pera, maíz choclo, naranjo, granado, melocotón, páprika, tomate, cirolero, arveja grano verde, ajo, damasco, espinaca</t>
  </si>
  <si>
    <t>Ing. Francisco Monasterio Acosta
952 998 430
monasterio_195@hotmail.com</t>
  </si>
  <si>
    <t>Pucallpa</t>
  </si>
  <si>
    <t>Arroz, plátano, maíz amarillo duro, yuca, cacao, papaya, frijol grano seco, cocona, frijol caupi grano seco, palma aceitera, piña, mani, sandía, soya, ají, culantro, pepino, camote, sachapapa, pituca, melón, camu camu, café, tomate, limón, pepinillo, naranja, mandarina, pimienta</t>
  </si>
  <si>
    <t>Ing. Pavel Tello Padilla
974 303 501
drau.deia.sac@gmail.com</t>
  </si>
  <si>
    <t>Abancay</t>
  </si>
  <si>
    <t>Rímac</t>
  </si>
  <si>
    <t>Maíz amiláceo, papa, haba grano seco, trigo, frijol grano seco, cebada grano, quinua, palto, maíz amarillo duro, avena grano seco, kiwicha o amaranto, olluco, chocho o tarhui grano seco, haba grano verde, arveja grano verde, arveja grano seco, alfalfa, zapallo, maíz choclo, oca, chia, maíz morado, mashua, melocotonero, yuca, chirimoya, manzano, lenteja</t>
  </si>
  <si>
    <t>Ing. Erwin Cayo Baca (Abancay)
984141963
cerwien@gmail.com
Ing. Máximo Huamán Luján(Andahuaylas)
950060843
maxhualu@gmail.com</t>
  </si>
  <si>
    <t>Percy Flores
914090689
jefsac02@gmail.com
Mario Arratea Quispe
958582090
siniestrosagro@rimac.com.pe</t>
  </si>
  <si>
    <t>Ayacucho</t>
  </si>
  <si>
    <t>Papa, maíz amiláceo, quinua, cebada grano, trigo, haba grano seco, avena forrajera, arveja grano seco, palto, cacao, café, olluco, maíz choclo, arveja grano verde, haba grano verde, maíz morado, maíz amarillo duro, papa blanca, frijol grano seco, tarwi, mashua</t>
  </si>
  <si>
    <t>Ing. Wilver Tenorio Lagos
981943844
tenoriolagos@hotmail.com
Ing. Fidel Palomino Morales
9757022854
Fidelpamo28@gmail.com</t>
  </si>
  <si>
    <t>Percy Arratea
921855530
jefsac01@gmail.com
Mario Arratea Quispe
958582090
siniestrosagro@rimac.com.pe</t>
  </si>
  <si>
    <t>Cajamarca</t>
  </si>
  <si>
    <t>Maíz amiláceo, papa, café, maíz amarillo duro, arveja grano verde, trigo, maíz choclo, arroz, yuca, cebada grano, olluco, arveja grano seco</t>
  </si>
  <si>
    <t>Ing. Esturado Regalado Pastor
950049174
eregalado@regioncajamarca.gob.pe</t>
  </si>
  <si>
    <t>Franklin Gómez
927438762
jefsac04@gmail.com
Mario Arratea Quispe
958582090
siniestrosagro@rimac.com.pe</t>
  </si>
  <si>
    <t>Ica</t>
  </si>
  <si>
    <t>Maíz amarillo duro, algodón, pecano, sandía, palto, vid, papa, pallar grano seco, camote, paprika, alfalfa, zapallo, frijol caupi o castilla grano seco, maíz choclo, frijol grano seco, melón, espárrago, garbanzo grano seco, ají, tomate, yuca, mandarina, arveja grano verde, tuna, cebada grano, maíz morado, trigo, cebolla, granado, maíz amiláceo, alcachofa, mango, pitahaya, haba grano verde, pepino, frijol grano verde, tara, maracuyá, naranjo, pepinillo, meolocotonero,    frijol caupi o castilla grano verde, pimiento, quinua, holantao, pallar grano verde, lúcuma, olluco, achira, papaya, frijol vainita, plátano, cebolla china, acelga, higuera, betarraga, zanahoria, olivo, ají panca, linaza, manzano, albahaca, culantro, lechuga, nabo, espinaca, rábano, perejil, chirimoya, mani</t>
  </si>
  <si>
    <t>Ing. Jimmy Risco Chacaltana
972738420
Jimmyrisco1901@gmail.com</t>
  </si>
  <si>
    <t>Nolberto Huamani
938769666
jefsac05@gmail.com
Mario Arratea Quispe
958582090
siniestrosagro@rimac.com.pe</t>
  </si>
  <si>
    <t>Moquegua</t>
  </si>
  <si>
    <t>Alfalfa, maíz amiláceo, papa, palto, orégano, vid, tuna, olivo, haba grano seco, lima, zapallo, cebada grano, quinua, sandía, frijol vainita, trigo, ajo, manzano, guayaba</t>
  </si>
  <si>
    <t>Ing. José Luis Apaza Mamani
974451747
amluisjose01@gmail.com  
diamoq@gmail.com</t>
  </si>
  <si>
    <t>Tumbes</t>
  </si>
  <si>
    <t>Arroz, banano convencional, plátano, maíz amarillo duro, limón, yuca, maíz choclo, cacao, ciruela, frijol caupi grano seco, papaya, maní, cocotero, tomate</t>
  </si>
  <si>
    <t>Ing. Víctor Infante Saavedra
951045160
victorinfante063@gmail.com
Ing Rosa Aurea Dios Espinoza                 
rosydios2012@hotmail.com 
983 792 758</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</si>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</sst>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4"/>
      <color rgb="FF2F5496"/>
      <name val="Arial"/>
      <charset val="1"/>
    </font>
    <font>
      <b/>
      <sz val="10"/>
      <color rgb="FFFFFFFF"/>
      <name val="Arial"/>
      <charset val="1"/>
    </font>
    <font>
      <b/>
      <sz val="9"/>
      <name val="Arial"/>
      <charset val="1"/>
    </font>
    <font>
      <sz val="9"/>
      <name val="Arial"/>
      <charset val="1"/>
    </font>
  </fonts>
  <fills count="6">
    <fill>
      <patternFill patternType="none"/>
    </fill>
    <fill>
      <patternFill patternType="gray125"/>
    </fill>
    <fill>
      <patternFill patternType="solid">
        <fgColor rgb="FF2F5496"/>
        <bgColor rgb="FF1F3864"/>
      </patternFill>
    </fill>
    <fill>
      <patternFill patternType="solid">
        <fgColor rgb="FFD6E4F0"/>
        <bgColor rgb="FFD9D9D9"/>
      </patternFill>
    </fill>
    <fill>
      <patternFill patternType="solid">
        <fgColor rgb="FFFFFFFF"/>
        <bgColor rgb="FFFFFFCC"/>
      </patternFill>
    </fill>
    <fill>
      <patternFill patternType="solid">
        <fgColor rgb="FF1F3864"/>
        <bgColor rgb="FF333333"/>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3" borderId="1" xfId="0" applyFont="1" applyFill="1" applyBorder="1"/>
    <xf numFmtId="0" fontId="4" fillId="3" borderId="1" xfId="0" applyFont="1" applyFill="1" applyBorder="1" applyAlignment="1">
      <alignment vertical="center" wrapText="1"/>
    </xf>
    <xf numFmtId="4" fontId="4" fillId="3" borderId="1" xfId="0" applyNumberFormat="1" applyFont="1" applyFill="1" applyBorder="1" applyAlignment="1">
      <alignment vertical="center" wrapText="1"/>
    </xf>
    <xf numFmtId="10" fontId="4" fillId="3" borderId="1" xfId="0" applyNumberFormat="1" applyFont="1" applyFill="1" applyBorder="1" applyAlignment="1">
      <alignment vertical="center" wrapText="1"/>
    </xf>
    <xf numFmtId="3" fontId="4" fillId="3" borderId="1" xfId="0" applyNumberFormat="1" applyFont="1" applyFill="1" applyBorder="1" applyAlignment="1">
      <alignment vertical="center" wrapText="1"/>
    </xf>
    <xf numFmtId="0" fontId="3" fillId="4" borderId="1" xfId="0" applyFont="1" applyFill="1" applyBorder="1"/>
    <xf numFmtId="0" fontId="4" fillId="4" borderId="1" xfId="0" applyFont="1" applyFill="1" applyBorder="1" applyAlignment="1">
      <alignment vertical="center" wrapText="1"/>
    </xf>
    <xf numFmtId="4" fontId="4" fillId="4" borderId="1" xfId="0" applyNumberFormat="1" applyFont="1" applyFill="1" applyBorder="1" applyAlignment="1">
      <alignment vertical="center" wrapText="1"/>
    </xf>
    <xf numFmtId="10" fontId="4" fillId="4" borderId="1" xfId="0" applyNumberFormat="1" applyFont="1" applyFill="1" applyBorder="1" applyAlignment="1">
      <alignment vertical="center" wrapText="1"/>
    </xf>
    <xf numFmtId="3" fontId="4" fillId="4" borderId="1" xfId="0" applyNumberFormat="1" applyFont="1" applyFill="1" applyBorder="1" applyAlignment="1">
      <alignment vertical="center" wrapText="1"/>
    </xf>
    <xf numFmtId="0" fontId="2" fillId="5" borderId="1" xfId="0" applyFont="1" applyFill="1" applyBorder="1"/>
    <xf numFmtId="4" fontId="2" fillId="5" borderId="1" xfId="0" applyNumberFormat="1" applyFont="1" applyFill="1" applyBorder="1"/>
    <xf numFmtId="3" fontId="2" fillId="5" borderId="1" xfId="0" applyNumberFormat="1"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6E4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8"/>
  <sheetViews>
    <sheetView tabSelected="1" topLeftCell="I1" zoomScaleNormal="100" workbookViewId="0">
      <pane ySplit="3" topLeftCell="A25" activePane="bottomLeft" state="frozen"/>
      <selection pane="bottomLeft" sqref="A1:P1"/>
    </sheetView>
  </sheetViews>
  <sheetFormatPr baseColWidth="10" defaultColWidth="8.7109375" defaultRowHeight="15" x14ac:dyDescent="0.25"/>
  <cols>
    <col min="1" max="1" width="22" customWidth="1"/>
    <col min="2" max="2" width="18" customWidth="1"/>
    <col min="3" max="3" width="22" customWidth="1"/>
    <col min="4" max="4" width="60" customWidth="1"/>
    <col min="5" max="5" width="22" customWidth="1"/>
    <col min="6" max="6" width="24" customWidth="1"/>
    <col min="7" max="8" width="22" customWidth="1"/>
    <col min="9" max="9" width="20" customWidth="1"/>
    <col min="10" max="10" width="14" customWidth="1"/>
    <col min="11" max="11" width="24" customWidth="1"/>
    <col min="12" max="12" width="26" customWidth="1"/>
    <col min="13" max="13" width="24" customWidth="1"/>
    <col min="14" max="14" width="14" customWidth="1"/>
    <col min="15" max="16" width="35" customWidth="1"/>
  </cols>
  <sheetData>
    <row r="1" spans="1:16" ht="34.5" customHeight="1" x14ac:dyDescent="0.25">
      <c r="A1" s="1" t="s">
        <v>0</v>
      </c>
      <c r="B1" s="1"/>
      <c r="C1" s="1"/>
      <c r="D1" s="1"/>
      <c r="E1" s="1"/>
      <c r="F1" s="1"/>
      <c r="G1" s="1"/>
      <c r="H1" s="1"/>
      <c r="I1" s="1"/>
      <c r="J1" s="1"/>
      <c r="K1" s="1"/>
      <c r="L1" s="1"/>
      <c r="M1" s="1"/>
      <c r="N1" s="1"/>
      <c r="O1" s="1"/>
      <c r="P1" s="1"/>
    </row>
    <row r="3" spans="1:16" ht="39.75" customHeight="1" x14ac:dyDescent="0.2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row>
    <row r="4" spans="1:16" ht="48" x14ac:dyDescent="0.25">
      <c r="A4" s="3"/>
      <c r="B4" s="4" t="s">
        <v>17</v>
      </c>
      <c r="C4" s="4" t="s">
        <v>18</v>
      </c>
      <c r="D4" s="4" t="s">
        <v>19</v>
      </c>
      <c r="E4" s="5">
        <v>1250000</v>
      </c>
      <c r="F4" s="5">
        <v>1059322.03</v>
      </c>
      <c r="G4" s="6">
        <v>8.5000000000000006E-2</v>
      </c>
      <c r="H4" s="6">
        <v>7.1999999999999995E-2</v>
      </c>
      <c r="I4" s="5">
        <v>1000</v>
      </c>
      <c r="J4" s="5">
        <v>85</v>
      </c>
      <c r="K4" s="5">
        <v>14705.88</v>
      </c>
      <c r="L4" s="7">
        <v>6127</v>
      </c>
      <c r="M4" s="5">
        <v>14705882.35</v>
      </c>
      <c r="N4" s="6">
        <v>0.54</v>
      </c>
      <c r="O4" s="4" t="s">
        <v>20</v>
      </c>
      <c r="P4" s="4" t="s">
        <v>21</v>
      </c>
    </row>
    <row r="5" spans="1:16" ht="36" x14ac:dyDescent="0.25">
      <c r="A5" s="8"/>
      <c r="B5" s="9" t="s">
        <v>22</v>
      </c>
      <c r="C5" s="9" t="s">
        <v>18</v>
      </c>
      <c r="D5" s="9" t="s">
        <v>23</v>
      </c>
      <c r="E5" s="10">
        <v>1000000</v>
      </c>
      <c r="F5" s="10">
        <v>847457.63</v>
      </c>
      <c r="G5" s="11">
        <v>1.2999999999999999E-2</v>
      </c>
      <c r="H5" s="11">
        <v>1.0999999999999999E-2</v>
      </c>
      <c r="I5" s="10">
        <v>1000</v>
      </c>
      <c r="J5" s="10">
        <v>13</v>
      </c>
      <c r="K5" s="10">
        <v>76923.08</v>
      </c>
      <c r="L5" s="12">
        <v>32051</v>
      </c>
      <c r="M5" s="10">
        <v>76923076.920000002</v>
      </c>
      <c r="N5" s="11">
        <v>0.54</v>
      </c>
      <c r="O5" s="9" t="s">
        <v>24</v>
      </c>
      <c r="P5" s="9" t="s">
        <v>25</v>
      </c>
    </row>
    <row r="6" spans="1:16" ht="84" x14ac:dyDescent="0.25">
      <c r="A6" s="3"/>
      <c r="B6" s="4" t="s">
        <v>26</v>
      </c>
      <c r="C6" s="4" t="s">
        <v>18</v>
      </c>
      <c r="D6" s="4" t="s">
        <v>27</v>
      </c>
      <c r="E6" s="5">
        <v>1125000</v>
      </c>
      <c r="F6" s="5">
        <v>953389.83</v>
      </c>
      <c r="G6" s="6">
        <v>2.5000000000000001E-2</v>
      </c>
      <c r="H6" s="6">
        <v>2.12E-2</v>
      </c>
      <c r="I6" s="5">
        <v>1000</v>
      </c>
      <c r="J6" s="5">
        <v>25</v>
      </c>
      <c r="K6" s="5">
        <v>45000</v>
      </c>
      <c r="L6" s="7">
        <v>18750</v>
      </c>
      <c r="M6" s="5">
        <v>45000000</v>
      </c>
      <c r="N6" s="6">
        <v>0.54</v>
      </c>
      <c r="O6" s="4" t="s">
        <v>28</v>
      </c>
      <c r="P6" s="4" t="s">
        <v>29</v>
      </c>
    </row>
    <row r="7" spans="1:16" ht="84" x14ac:dyDescent="0.25">
      <c r="A7" s="8"/>
      <c r="B7" s="9" t="s">
        <v>30</v>
      </c>
      <c r="C7" s="9" t="s">
        <v>18</v>
      </c>
      <c r="D7" s="9" t="s">
        <v>31</v>
      </c>
      <c r="E7" s="10">
        <v>3437500</v>
      </c>
      <c r="F7" s="10">
        <v>2913135.59</v>
      </c>
      <c r="G7" s="11">
        <v>2.1999999999999999E-2</v>
      </c>
      <c r="H7" s="11">
        <v>1.8599999999999998E-2</v>
      </c>
      <c r="I7" s="10">
        <v>1000</v>
      </c>
      <c r="J7" s="10">
        <v>22</v>
      </c>
      <c r="K7" s="10">
        <v>156250</v>
      </c>
      <c r="L7" s="12">
        <v>65104</v>
      </c>
      <c r="M7" s="10">
        <v>156250000</v>
      </c>
      <c r="N7" s="11">
        <v>0.52</v>
      </c>
      <c r="O7" s="9" t="s">
        <v>32</v>
      </c>
      <c r="P7" s="9" t="s">
        <v>33</v>
      </c>
    </row>
    <row r="8" spans="1:16" ht="48" x14ac:dyDescent="0.25">
      <c r="A8" s="3"/>
      <c r="B8" s="4" t="s">
        <v>34</v>
      </c>
      <c r="C8" s="4" t="s">
        <v>18</v>
      </c>
      <c r="D8" s="4" t="s">
        <v>35</v>
      </c>
      <c r="E8" s="5">
        <v>7609375</v>
      </c>
      <c r="F8" s="5">
        <v>6448622.8799999999</v>
      </c>
      <c r="G8" s="6">
        <v>8.5000000000000006E-2</v>
      </c>
      <c r="H8" s="6">
        <v>7.1999999999999995E-2</v>
      </c>
      <c r="I8" s="5">
        <v>1000</v>
      </c>
      <c r="J8" s="5">
        <v>85</v>
      </c>
      <c r="K8" s="5">
        <v>89522.06</v>
      </c>
      <c r="L8" s="7">
        <v>37301</v>
      </c>
      <c r="M8" s="5">
        <v>89522058.819999993</v>
      </c>
      <c r="N8" s="6">
        <v>0.54</v>
      </c>
      <c r="O8" s="4" t="s">
        <v>36</v>
      </c>
      <c r="P8" s="4" t="s">
        <v>37</v>
      </c>
    </row>
    <row r="9" spans="1:16" ht="72" x14ac:dyDescent="0.25">
      <c r="A9" s="8"/>
      <c r="B9" s="9" t="s">
        <v>38</v>
      </c>
      <c r="C9" s="9" t="s">
        <v>18</v>
      </c>
      <c r="D9" s="9" t="s">
        <v>39</v>
      </c>
      <c r="E9" s="10">
        <v>3750000</v>
      </c>
      <c r="F9" s="10">
        <v>3177966.1</v>
      </c>
      <c r="G9" s="11">
        <v>3.7999999999999999E-2</v>
      </c>
      <c r="H9" s="11">
        <v>3.2199999999999999E-2</v>
      </c>
      <c r="I9" s="10">
        <v>1000</v>
      </c>
      <c r="J9" s="10">
        <v>38</v>
      </c>
      <c r="K9" s="10">
        <v>98684.21</v>
      </c>
      <c r="L9" s="12">
        <v>41118</v>
      </c>
      <c r="M9" s="10">
        <v>98684210.530000001</v>
      </c>
      <c r="N9" s="11">
        <v>0.54</v>
      </c>
      <c r="O9" s="9" t="s">
        <v>40</v>
      </c>
      <c r="P9" s="9" t="s">
        <v>41</v>
      </c>
    </row>
    <row r="10" spans="1:16" ht="84" x14ac:dyDescent="0.25">
      <c r="A10" s="3"/>
      <c r="B10" s="4" t="s">
        <v>42</v>
      </c>
      <c r="C10" s="4" t="s">
        <v>18</v>
      </c>
      <c r="D10" s="4" t="s">
        <v>43</v>
      </c>
      <c r="E10" s="5">
        <v>3125000</v>
      </c>
      <c r="F10" s="5">
        <v>2648305.08</v>
      </c>
      <c r="G10" s="6">
        <v>2.5000000000000001E-2</v>
      </c>
      <c r="H10" s="6">
        <v>2.12E-2</v>
      </c>
      <c r="I10" s="5">
        <v>1000</v>
      </c>
      <c r="J10" s="5">
        <v>25</v>
      </c>
      <c r="K10" s="5">
        <v>125000</v>
      </c>
      <c r="L10" s="7">
        <v>52083</v>
      </c>
      <c r="M10" s="5">
        <v>125000000</v>
      </c>
      <c r="N10" s="6">
        <v>0.52</v>
      </c>
      <c r="O10" s="4" t="s">
        <v>44</v>
      </c>
      <c r="P10" s="4" t="s">
        <v>37</v>
      </c>
    </row>
    <row r="11" spans="1:16" ht="156" x14ac:dyDescent="0.25">
      <c r="A11" s="8"/>
      <c r="B11" s="9" t="s">
        <v>45</v>
      </c>
      <c r="C11" s="9" t="s">
        <v>18</v>
      </c>
      <c r="D11" s="9" t="s">
        <v>46</v>
      </c>
      <c r="E11" s="10">
        <v>1625000</v>
      </c>
      <c r="F11" s="10">
        <v>1377118.64</v>
      </c>
      <c r="G11" s="11">
        <v>1.4999999999999999E-2</v>
      </c>
      <c r="H11" s="11">
        <v>1.2699999999999999E-2</v>
      </c>
      <c r="I11" s="10">
        <v>1000</v>
      </c>
      <c r="J11" s="10">
        <v>15</v>
      </c>
      <c r="K11" s="10">
        <v>108333.33</v>
      </c>
      <c r="L11" s="12">
        <v>45139</v>
      </c>
      <c r="M11" s="10">
        <v>108333333.33</v>
      </c>
      <c r="N11" s="11">
        <v>0.56000000000000005</v>
      </c>
      <c r="O11" s="9" t="s">
        <v>47</v>
      </c>
      <c r="P11" s="9" t="s">
        <v>21</v>
      </c>
    </row>
    <row r="12" spans="1:16" ht="108" x14ac:dyDescent="0.25">
      <c r="A12" s="3"/>
      <c r="B12" s="4" t="s">
        <v>48</v>
      </c>
      <c r="C12" s="4" t="s">
        <v>18</v>
      </c>
      <c r="D12" s="4" t="s">
        <v>49</v>
      </c>
      <c r="E12" s="5">
        <v>1123310</v>
      </c>
      <c r="F12" s="5">
        <v>951957.63</v>
      </c>
      <c r="G12" s="6">
        <v>0.01</v>
      </c>
      <c r="H12" s="6">
        <v>8.5000000000000006E-3</v>
      </c>
      <c r="I12" s="5">
        <v>1000</v>
      </c>
      <c r="J12" s="5">
        <v>10</v>
      </c>
      <c r="K12" s="5">
        <v>112331</v>
      </c>
      <c r="L12" s="7">
        <v>46805</v>
      </c>
      <c r="M12" s="5">
        <v>112331000</v>
      </c>
      <c r="N12" s="6">
        <v>0.56000000000000005</v>
      </c>
      <c r="O12" s="4" t="s">
        <v>50</v>
      </c>
      <c r="P12" s="4" t="s">
        <v>21</v>
      </c>
    </row>
    <row r="13" spans="1:16" ht="180" x14ac:dyDescent="0.25">
      <c r="A13" s="8"/>
      <c r="B13" s="9" t="s">
        <v>51</v>
      </c>
      <c r="C13" s="9" t="s">
        <v>18</v>
      </c>
      <c r="D13" s="9" t="s">
        <v>52</v>
      </c>
      <c r="E13" s="10">
        <v>2187500</v>
      </c>
      <c r="F13" s="10">
        <v>1853813.56</v>
      </c>
      <c r="G13" s="11">
        <v>0.03</v>
      </c>
      <c r="H13" s="11">
        <v>2.5399999999999999E-2</v>
      </c>
      <c r="I13" s="10">
        <v>1000</v>
      </c>
      <c r="J13" s="10">
        <v>30</v>
      </c>
      <c r="K13" s="10">
        <v>72916.67</v>
      </c>
      <c r="L13" s="12">
        <v>30382</v>
      </c>
      <c r="M13" s="10">
        <v>72916666.670000002</v>
      </c>
      <c r="N13" s="11">
        <v>0.54</v>
      </c>
      <c r="O13" s="9" t="s">
        <v>53</v>
      </c>
      <c r="P13" s="9" t="s">
        <v>33</v>
      </c>
    </row>
    <row r="14" spans="1:16" ht="84" x14ac:dyDescent="0.25">
      <c r="A14" s="3"/>
      <c r="B14" s="4" t="s">
        <v>54</v>
      </c>
      <c r="C14" s="4" t="s">
        <v>18</v>
      </c>
      <c r="D14" s="4" t="s">
        <v>55</v>
      </c>
      <c r="E14" s="5">
        <v>1812500</v>
      </c>
      <c r="F14" s="5">
        <v>1536016.95</v>
      </c>
      <c r="G14" s="6">
        <v>2.1999999999999999E-2</v>
      </c>
      <c r="H14" s="6">
        <v>1.8599999999999998E-2</v>
      </c>
      <c r="I14" s="5">
        <v>1000</v>
      </c>
      <c r="J14" s="5">
        <v>22</v>
      </c>
      <c r="K14" s="5">
        <v>82386.36</v>
      </c>
      <c r="L14" s="7">
        <v>34328</v>
      </c>
      <c r="M14" s="5">
        <v>82386363.640000001</v>
      </c>
      <c r="N14" s="6">
        <v>0.56000000000000005</v>
      </c>
      <c r="O14" s="4" t="s">
        <v>56</v>
      </c>
      <c r="P14" s="4" t="s">
        <v>57</v>
      </c>
    </row>
    <row r="15" spans="1:16" ht="36" x14ac:dyDescent="0.25">
      <c r="A15" s="8"/>
      <c r="B15" s="9" t="s">
        <v>58</v>
      </c>
      <c r="C15" s="9" t="s">
        <v>18</v>
      </c>
      <c r="D15" s="9" t="s">
        <v>59</v>
      </c>
      <c r="E15" s="10">
        <v>931250</v>
      </c>
      <c r="F15" s="10">
        <v>789194.92</v>
      </c>
      <c r="G15" s="11">
        <v>0.05</v>
      </c>
      <c r="H15" s="11">
        <v>4.24E-2</v>
      </c>
      <c r="I15" s="10">
        <v>1000</v>
      </c>
      <c r="J15" s="10">
        <v>50</v>
      </c>
      <c r="K15" s="10">
        <v>18625</v>
      </c>
      <c r="L15" s="12">
        <v>7760</v>
      </c>
      <c r="M15" s="10">
        <v>18625000</v>
      </c>
      <c r="N15" s="11">
        <v>0.54</v>
      </c>
      <c r="O15" s="9" t="s">
        <v>60</v>
      </c>
      <c r="P15" s="9" t="s">
        <v>33</v>
      </c>
    </row>
    <row r="16" spans="1:16" ht="84" x14ac:dyDescent="0.25">
      <c r="A16" s="3"/>
      <c r="B16" s="4" t="s">
        <v>61</v>
      </c>
      <c r="C16" s="4" t="s">
        <v>18</v>
      </c>
      <c r="D16" s="4" t="s">
        <v>62</v>
      </c>
      <c r="E16" s="5">
        <v>3963232</v>
      </c>
      <c r="F16" s="5">
        <v>3358671.19</v>
      </c>
      <c r="G16" s="6">
        <v>3.2000000000000001E-2</v>
      </c>
      <c r="H16" s="6">
        <v>2.7099999999999999E-2</v>
      </c>
      <c r="I16" s="5">
        <v>1000</v>
      </c>
      <c r="J16" s="5">
        <v>32</v>
      </c>
      <c r="K16" s="5">
        <v>123851</v>
      </c>
      <c r="L16" s="7">
        <v>51605</v>
      </c>
      <c r="M16" s="5">
        <v>123851000</v>
      </c>
      <c r="N16" s="6">
        <v>0.54</v>
      </c>
      <c r="O16" s="4" t="s">
        <v>63</v>
      </c>
      <c r="P16" s="4" t="s">
        <v>25</v>
      </c>
    </row>
    <row r="17" spans="1:16" ht="120" x14ac:dyDescent="0.25">
      <c r="A17" s="8"/>
      <c r="B17" s="9" t="s">
        <v>64</v>
      </c>
      <c r="C17" s="9" t="s">
        <v>18</v>
      </c>
      <c r="D17" s="9" t="s">
        <v>65</v>
      </c>
      <c r="E17" s="10">
        <v>2909638.55</v>
      </c>
      <c r="F17" s="10">
        <v>2465795.38</v>
      </c>
      <c r="G17" s="11">
        <v>1.2999999999999999E-2</v>
      </c>
      <c r="H17" s="11">
        <v>1.0999999999999999E-2</v>
      </c>
      <c r="I17" s="10">
        <v>1000</v>
      </c>
      <c r="J17" s="10">
        <v>13</v>
      </c>
      <c r="K17" s="10">
        <v>223818.35</v>
      </c>
      <c r="L17" s="12">
        <v>93258</v>
      </c>
      <c r="M17" s="10">
        <v>223818350</v>
      </c>
      <c r="N17" s="11">
        <v>0.56000000000000005</v>
      </c>
      <c r="O17" s="9" t="s">
        <v>66</v>
      </c>
      <c r="P17" s="9" t="s">
        <v>21</v>
      </c>
    </row>
    <row r="18" spans="1:16" ht="36" x14ac:dyDescent="0.25">
      <c r="A18" s="3"/>
      <c r="B18" s="4" t="s">
        <v>67</v>
      </c>
      <c r="C18" s="4" t="s">
        <v>18</v>
      </c>
      <c r="D18" s="4" t="s">
        <v>68</v>
      </c>
      <c r="E18" s="5">
        <v>8918750</v>
      </c>
      <c r="F18" s="5">
        <v>7558262.71</v>
      </c>
      <c r="G18" s="6">
        <v>6.9000000000000006E-2</v>
      </c>
      <c r="H18" s="6">
        <v>5.8500000000000003E-2</v>
      </c>
      <c r="I18" s="5">
        <v>1000</v>
      </c>
      <c r="J18" s="5">
        <v>69</v>
      </c>
      <c r="K18" s="5">
        <v>129257.25</v>
      </c>
      <c r="L18" s="7">
        <v>53857</v>
      </c>
      <c r="M18" s="5">
        <v>129257246.38</v>
      </c>
      <c r="N18" s="6">
        <v>0.54</v>
      </c>
      <c r="O18" s="4" t="s">
        <v>69</v>
      </c>
      <c r="P18" s="4" t="s">
        <v>29</v>
      </c>
    </row>
    <row r="19" spans="1:16" ht="96" x14ac:dyDescent="0.25">
      <c r="A19" s="8"/>
      <c r="B19" s="9" t="s">
        <v>70</v>
      </c>
      <c r="C19" s="9" t="s">
        <v>18</v>
      </c>
      <c r="D19" s="9" t="s">
        <v>71</v>
      </c>
      <c r="E19" s="10">
        <v>2500000</v>
      </c>
      <c r="F19" s="10">
        <v>2118644.0699999998</v>
      </c>
      <c r="G19" s="11">
        <v>1.4999999999999999E-2</v>
      </c>
      <c r="H19" s="11">
        <v>1.2699999999999999E-2</v>
      </c>
      <c r="I19" s="10">
        <v>1000</v>
      </c>
      <c r="J19" s="10">
        <v>15</v>
      </c>
      <c r="K19" s="10">
        <v>166666.67000000001</v>
      </c>
      <c r="L19" s="12">
        <v>69444</v>
      </c>
      <c r="M19" s="10">
        <v>166666666.66999999</v>
      </c>
      <c r="N19" s="11">
        <v>0.54</v>
      </c>
      <c r="O19" s="9" t="s">
        <v>72</v>
      </c>
      <c r="P19" s="9" t="s">
        <v>57</v>
      </c>
    </row>
    <row r="20" spans="1:16" ht="48" x14ac:dyDescent="0.25">
      <c r="A20" s="3"/>
      <c r="B20" s="4" t="s">
        <v>73</v>
      </c>
      <c r="C20" s="4" t="s">
        <v>18</v>
      </c>
      <c r="D20" s="4" t="s">
        <v>74</v>
      </c>
      <c r="E20" s="5">
        <v>625000</v>
      </c>
      <c r="F20" s="5">
        <v>529661.02</v>
      </c>
      <c r="G20" s="6">
        <v>3.7999999999999999E-2</v>
      </c>
      <c r="H20" s="6">
        <v>3.2199999999999999E-2</v>
      </c>
      <c r="I20" s="5">
        <v>1000</v>
      </c>
      <c r="J20" s="5">
        <v>38</v>
      </c>
      <c r="K20" s="5">
        <v>16447.37</v>
      </c>
      <c r="L20" s="7">
        <v>6853</v>
      </c>
      <c r="M20" s="5">
        <v>16447368.42</v>
      </c>
      <c r="N20" s="6">
        <v>0.56000000000000005</v>
      </c>
      <c r="O20" s="4" t="s">
        <v>75</v>
      </c>
      <c r="P20" s="4" t="s">
        <v>29</v>
      </c>
    </row>
    <row r="21" spans="1:16" ht="48" x14ac:dyDescent="0.25">
      <c r="A21" s="8"/>
      <c r="B21" s="9" t="s">
        <v>76</v>
      </c>
      <c r="C21" s="9" t="s">
        <v>18</v>
      </c>
      <c r="D21" s="9" t="s">
        <v>77</v>
      </c>
      <c r="E21" s="10">
        <v>1875000</v>
      </c>
      <c r="F21" s="10">
        <v>1588983.05</v>
      </c>
      <c r="G21" s="11">
        <v>1.6E-2</v>
      </c>
      <c r="H21" s="11">
        <v>1.3599999999999999E-2</v>
      </c>
      <c r="I21" s="10">
        <v>1000</v>
      </c>
      <c r="J21" s="10">
        <v>16</v>
      </c>
      <c r="K21" s="10">
        <v>117187.5</v>
      </c>
      <c r="L21" s="12">
        <v>48828</v>
      </c>
      <c r="M21" s="10">
        <v>117187500</v>
      </c>
      <c r="N21" s="11">
        <v>0.54</v>
      </c>
      <c r="O21" s="9" t="s">
        <v>78</v>
      </c>
      <c r="P21" s="9" t="s">
        <v>57</v>
      </c>
    </row>
    <row r="22" spans="1:16" ht="84" x14ac:dyDescent="0.25">
      <c r="A22" s="3"/>
      <c r="B22" s="4" t="s">
        <v>79</v>
      </c>
      <c r="C22" s="4" t="s">
        <v>80</v>
      </c>
      <c r="D22" s="4" t="s">
        <v>81</v>
      </c>
      <c r="E22" s="5">
        <v>9296875</v>
      </c>
      <c r="F22" s="5">
        <v>7878707.6299999999</v>
      </c>
      <c r="G22" s="6">
        <v>0.107</v>
      </c>
      <c r="H22" s="6">
        <v>9.0700000000000003E-2</v>
      </c>
      <c r="I22" s="5">
        <v>1000</v>
      </c>
      <c r="J22" s="5">
        <v>107</v>
      </c>
      <c r="K22" s="5">
        <v>86886.68</v>
      </c>
      <c r="L22" s="7">
        <v>36203</v>
      </c>
      <c r="M22" s="5">
        <v>86886682.239999995</v>
      </c>
      <c r="N22" s="6">
        <v>0.52</v>
      </c>
      <c r="O22" s="4" t="s">
        <v>82</v>
      </c>
      <c r="P22" s="4" t="s">
        <v>83</v>
      </c>
    </row>
    <row r="23" spans="1:16" ht="84" x14ac:dyDescent="0.25">
      <c r="A23" s="8"/>
      <c r="B23" s="9" t="s">
        <v>84</v>
      </c>
      <c r="C23" s="9" t="s">
        <v>80</v>
      </c>
      <c r="D23" s="9" t="s">
        <v>85</v>
      </c>
      <c r="E23" s="10">
        <v>9167250</v>
      </c>
      <c r="F23" s="10">
        <v>7768855.9299999997</v>
      </c>
      <c r="G23" s="11">
        <v>0.105</v>
      </c>
      <c r="H23" s="11">
        <v>8.8999999999999996E-2</v>
      </c>
      <c r="I23" s="10">
        <v>1000</v>
      </c>
      <c r="J23" s="10">
        <v>105</v>
      </c>
      <c r="K23" s="10">
        <v>87307.14</v>
      </c>
      <c r="L23" s="12">
        <v>36378</v>
      </c>
      <c r="M23" s="10">
        <v>87307142.859999999</v>
      </c>
      <c r="N23" s="11">
        <v>0.52</v>
      </c>
      <c r="O23" s="9" t="s">
        <v>86</v>
      </c>
      <c r="P23" s="9" t="s">
        <v>87</v>
      </c>
    </row>
    <row r="24" spans="1:16" ht="84" x14ac:dyDescent="0.25">
      <c r="A24" s="3"/>
      <c r="B24" s="4" t="s">
        <v>88</v>
      </c>
      <c r="C24" s="4" t="s">
        <v>80</v>
      </c>
      <c r="D24" s="4" t="s">
        <v>89</v>
      </c>
      <c r="E24" s="5">
        <v>2250000</v>
      </c>
      <c r="F24" s="5">
        <v>1906779.66</v>
      </c>
      <c r="G24" s="6">
        <v>8.2000000000000003E-2</v>
      </c>
      <c r="H24" s="6">
        <v>6.9500000000000006E-2</v>
      </c>
      <c r="I24" s="5">
        <v>1000</v>
      </c>
      <c r="J24" s="5">
        <v>82</v>
      </c>
      <c r="K24" s="5">
        <v>27439.02</v>
      </c>
      <c r="L24" s="7">
        <v>11433</v>
      </c>
      <c r="M24" s="5">
        <v>27439024.390000001</v>
      </c>
      <c r="N24" s="6">
        <v>0.52</v>
      </c>
      <c r="O24" s="4" t="s">
        <v>90</v>
      </c>
      <c r="P24" s="4" t="s">
        <v>91</v>
      </c>
    </row>
    <row r="25" spans="1:16" ht="132" x14ac:dyDescent="0.25">
      <c r="A25" s="8"/>
      <c r="B25" s="9" t="s">
        <v>92</v>
      </c>
      <c r="C25" s="9" t="s">
        <v>80</v>
      </c>
      <c r="D25" s="9" t="s">
        <v>93</v>
      </c>
      <c r="E25" s="10">
        <v>1250000</v>
      </c>
      <c r="F25" s="10">
        <v>1059322.03</v>
      </c>
      <c r="G25" s="11">
        <v>0.15</v>
      </c>
      <c r="H25" s="11">
        <v>0.12709999999999999</v>
      </c>
      <c r="I25" s="10">
        <v>1000</v>
      </c>
      <c r="J25" s="10">
        <v>150</v>
      </c>
      <c r="K25" s="10">
        <v>8333.33</v>
      </c>
      <c r="L25" s="12">
        <v>3472</v>
      </c>
      <c r="M25" s="10">
        <v>8333333.3300000001</v>
      </c>
      <c r="N25" s="11">
        <v>0.52</v>
      </c>
      <c r="O25" s="9" t="s">
        <v>94</v>
      </c>
      <c r="P25" s="9" t="s">
        <v>95</v>
      </c>
    </row>
    <row r="26" spans="1:16" ht="84" x14ac:dyDescent="0.25">
      <c r="A26" s="3"/>
      <c r="B26" s="4" t="s">
        <v>96</v>
      </c>
      <c r="C26" s="4" t="s">
        <v>80</v>
      </c>
      <c r="D26" s="4" t="s">
        <v>97</v>
      </c>
      <c r="E26" s="5">
        <v>750000</v>
      </c>
      <c r="F26" s="5">
        <v>635593.22</v>
      </c>
      <c r="G26" s="6">
        <v>0.129</v>
      </c>
      <c r="H26" s="6">
        <v>0.10929999999999999</v>
      </c>
      <c r="I26" s="5">
        <v>1000</v>
      </c>
      <c r="J26" s="5">
        <v>129</v>
      </c>
      <c r="K26" s="5">
        <v>5813.95</v>
      </c>
      <c r="L26" s="7">
        <v>2422</v>
      </c>
      <c r="M26" s="5">
        <v>5813953.4900000002</v>
      </c>
      <c r="N26" s="6">
        <v>0.54</v>
      </c>
      <c r="O26" s="4" t="s">
        <v>98</v>
      </c>
      <c r="P26" s="4" t="s">
        <v>95</v>
      </c>
    </row>
    <row r="27" spans="1:16" ht="84" x14ac:dyDescent="0.25">
      <c r="A27" s="8"/>
      <c r="B27" s="9" t="s">
        <v>99</v>
      </c>
      <c r="C27" s="9" t="s">
        <v>80</v>
      </c>
      <c r="D27" s="9" t="s">
        <v>100</v>
      </c>
      <c r="E27" s="10">
        <v>1245250</v>
      </c>
      <c r="F27" s="10">
        <v>1055296.6100000001</v>
      </c>
      <c r="G27" s="11">
        <v>0.15</v>
      </c>
      <c r="H27" s="11">
        <v>0.12709999999999999</v>
      </c>
      <c r="I27" s="10">
        <v>1000</v>
      </c>
      <c r="J27" s="10">
        <v>150</v>
      </c>
      <c r="K27" s="10">
        <v>8301.67</v>
      </c>
      <c r="L27" s="12">
        <v>3459</v>
      </c>
      <c r="M27" s="10">
        <v>8301666.6699999999</v>
      </c>
      <c r="N27" s="11">
        <v>0.52</v>
      </c>
      <c r="O27" s="9" t="s">
        <v>101</v>
      </c>
      <c r="P27" s="9" t="s">
        <v>95</v>
      </c>
    </row>
    <row r="28" spans="1:16" x14ac:dyDescent="0.25">
      <c r="A28" s="13" t="s">
        <v>102</v>
      </c>
      <c r="B28" s="13"/>
      <c r="C28" s="13"/>
      <c r="D28" s="13"/>
      <c r="E28" s="14">
        <f>SUM(E4:E27)</f>
        <v>73727430.549999997</v>
      </c>
      <c r="F28" s="14">
        <f>SUM(F4:F27)</f>
        <v>62480873.339999996</v>
      </c>
      <c r="G28" s="13"/>
      <c r="H28" s="13"/>
      <c r="I28" s="13"/>
      <c r="J28" s="13"/>
      <c r="K28" s="14">
        <f>SUM(K4:K27)</f>
        <v>2001987.5199999998</v>
      </c>
      <c r="L28" s="15">
        <f>SUM(L4:L27)</f>
        <v>834160</v>
      </c>
      <c r="M28" s="14">
        <f>SUM(M4:M27)</f>
        <v>2001987526.71</v>
      </c>
      <c r="N28" s="13"/>
      <c r="O28" s="13"/>
      <c r="P28" s="13"/>
    </row>
  </sheetData>
  <autoFilter ref="A3:P27" xr:uid="{00000000-0009-0000-0000-000000000000}"/>
  <mergeCells count="1">
    <mergeCell ref="A1:P1"/>
  </mergeCell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Materia Asegurada SAC 2025-2026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ivan mena alberca</cp:lastModifiedBy>
  <cp:revision>0</cp:revision>
  <dcterms:created xsi:type="dcterms:W3CDTF">2026-02-25T02:08:45Z</dcterms:created>
  <dcterms:modified xsi:type="dcterms:W3CDTF">2026-02-27T02:25:23Z</dcterms:modified>
  <dc:language>en-US</dc:language>
</cp:coreProperties>
</file>