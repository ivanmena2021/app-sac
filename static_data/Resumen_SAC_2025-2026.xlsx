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https://d.docs.live.net/77dd6ef53b10ea19/Escritorio/carpeta de cowork/reporte automatizado sac/"/>
    </mc:Choice>
  </mc:AlternateContent>
  <xr:revisionPtr revIDLastSave="13" documentId="11_9AF6E6353E65C2721F1FB3507975DE69CE37BA86" xr6:coauthVersionLast="47" xr6:coauthVersionMax="47" xr10:uidLastSave="{199107E7-C987-431D-BDA2-539EB4C1B943}"/>
  <bookViews>
    <workbookView xWindow="-120" yWindow="-120" windowWidth="20730" windowHeight="11160" tabRatio="500" firstSheet="1" activeTab="2" xr2:uid="{00000000-000D-0000-FFFF-FFFF00000000}"/>
  </bookViews>
  <sheets>
    <sheet name="Resumen General" sheetId="1" r:id="rId1"/>
    <sheet name="Primas y Cobertura" sheetId="2" r:id="rId2"/>
    <sheet name="Indemnizaciones y Desembolsos" sheetId="3" r:id="rId3"/>
  </sheets>
  <definedNames>
    <definedName name="_xlnm._FilterDatabase" localSheetId="2" hidden="1">'Indemnizaciones y Desembolsos'!$A$3:$E$27</definedName>
    <definedName name="_xlnm._FilterDatabase" localSheetId="1" hidden="1">'Primas y Cobertura'!$A$3:$D$27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8" i="3" l="1"/>
  <c r="D28" i="3"/>
  <c r="C28" i="3"/>
  <c r="B28" i="3"/>
  <c r="D28" i="2"/>
  <c r="C28" i="2"/>
  <c r="B28" i="2"/>
</calcChain>
</file>

<file path=xl/sharedStrings.xml><?xml version="1.0" encoding="utf-8"?>
<sst xmlns="http://schemas.openxmlformats.org/spreadsheetml/2006/main" count="93" uniqueCount="72">
  <si>
    <t>RESUMEN SAC 2025-2026 (al 23/02/2026)</t>
  </si>
  <si>
    <t>¿CÓMO SE ACTIVA EL SAC?</t>
  </si>
  <si>
    <t>1. El productor reporta el siniestro a la Agencia/Oficina Agraria (presencial o telefónicamente).
2. La Agencia Agraria, vía la DRA, notifica a la aseguradora por correo electrónico dentro de 7 días calendario.
3. La aseguradora designa un perito ajustador para evaluar daños en campo dentro de 15 días calendario.
4. El perito evalúa los daños con un agente agrario y elabora el acta de ajuste.
5. Si se confirma pérdida catastrófica, la aseguradora coordina con la DRA/GRA el empadronamiento dentro de 20 días calendario.
6. La aseguradora abre cuentas bancarias y paga S/ 1,000/ha asegurada dentro de 15 días hábiles tras la aprobación del padrón. Para mayores de 65 años se pueden realizar giros bancarios.</t>
  </si>
  <si>
    <t>DATOS GENERALES A NIVEL NACIONAL</t>
  </si>
  <si>
    <t>Empresas Aseguradoras</t>
  </si>
  <si>
    <t>La Positiva y Rímac</t>
  </si>
  <si>
    <t>Departamentos cubiertos</t>
  </si>
  <si>
    <t>24</t>
  </si>
  <si>
    <t>Prima Total (con IGV)</t>
  </si>
  <si>
    <t>S/ 73,727,430.55</t>
  </si>
  <si>
    <t>Prima Neta (sin IGV)</t>
  </si>
  <si>
    <t>S/ 62,480,873.35</t>
  </si>
  <si>
    <t>Superficie asegurada total</t>
  </si>
  <si>
    <t>2,001,987.52 ha</t>
  </si>
  <si>
    <t>Productores asegurados (estimados)</t>
  </si>
  <si>
    <t>834,160</t>
  </si>
  <si>
    <t>Valores asegurados totales</t>
  </si>
  <si>
    <t>S/ 2,001,987,526.71</t>
  </si>
  <si>
    <t>Suma asegurada por hectárea</t>
  </si>
  <si>
    <t>S/ 1,000.00</t>
  </si>
  <si>
    <t>Avisos de siniestros reportados</t>
  </si>
  <si>
    <t>Avisos ajustados/evaluados</t>
  </si>
  <si>
    <t>Indemnizaciones reconocidas</t>
  </si>
  <si>
    <t>Índice de siniestralidad</t>
  </si>
  <si>
    <t>Desembolsos realizados</t>
  </si>
  <si>
    <t>Productores indemnizados</t>
  </si>
  <si>
    <t>Departamentos con indemnizaciones</t>
  </si>
  <si>
    <t>CUADRO 1: PRIMAS Y COBERTURA POR DEPARTAMENTO</t>
  </si>
  <si>
    <t>Departamento</t>
  </si>
  <si>
    <t>Prima Total (S/)</t>
  </si>
  <si>
    <t>Hectáreas Aseguradas</t>
  </si>
  <si>
    <t>Suma Asegurada Máxima (S/)</t>
  </si>
  <si>
    <t>Amazonas</t>
  </si>
  <si>
    <t>Apurímac</t>
  </si>
  <si>
    <t>Arequipa</t>
  </si>
  <si>
    <t>Ayacucho</t>
  </si>
  <si>
    <t>Cajamarca</t>
  </si>
  <si>
    <t>Cusco</t>
  </si>
  <si>
    <t>Huancavelica</t>
  </si>
  <si>
    <t>Huánuco</t>
  </si>
  <si>
    <t>Ica</t>
  </si>
  <si>
    <t>Junín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</si>
  <si>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</si>
  <si>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</si>
  <si>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</si>
  <si>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</si>
  <si>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</si>
  <si>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</si>
  <si>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</si>
  <si>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</si>
  <si>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</si>
  <si>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</si>
  <si>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</si>
  <si>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</si>
  <si>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</si>
  <si>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Áncash</t>
  </si>
  <si>
    <t>TOTAL</t>
  </si>
  <si>
    <t>Hectáreas Indemnizadas</t>
  </si>
  <si>
    <t>Monto Indemnizado (S/)</t>
  </si>
  <si>
    <t>Monto Desembolsado (S/)</t>
  </si>
  <si>
    <t>Productores con Desembolso</t>
  </si>
  <si>
    <t>Ancash</t>
  </si>
  <si>
    <t>Apurimac</t>
  </si>
  <si>
    <t>Huanuco</t>
  </si>
  <si>
    <t>Junin</t>
  </si>
  <si>
    <t>San Martin</t>
  </si>
  <si>
    <t xml:space="preserve"> (%)</t>
  </si>
  <si>
    <t xml:space="preserve">S/ </t>
  </si>
  <si>
    <t>%</t>
  </si>
  <si>
    <t>S/  (%)</t>
  </si>
  <si>
    <t xml:space="preserve"> de </t>
  </si>
  <si>
    <t>CUADRO 2: INDEMNIZACIONES Y DESEMBOLSOS POR DEPARTAMENTO (al xx/xx/xxxx)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</si>
</sst>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3"/>
      <color rgb="FF2F5496"/>
      <name val="Arial"/>
      <charset val="1"/>
    </font>
    <font>
      <b/>
      <sz val="11"/>
      <color rgb="FF2F5496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12"/>
      <color rgb="FF2F5496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D6E4F0"/>
        <bgColor rgb="FFCCFFFF"/>
      </patternFill>
    </fill>
    <fill>
      <patternFill patternType="solid">
        <fgColor rgb="FF2F5496"/>
        <bgColor rgb="FF1F3864"/>
      </patternFill>
    </fill>
    <fill>
      <patternFill patternType="solid">
        <fgColor rgb="FFFFFFFF"/>
        <bgColor rgb="FFFFFFCC"/>
      </patternFill>
    </fill>
    <fill>
      <patternFill patternType="solid">
        <fgColor rgb="FF1F3864"/>
        <bgColor rgb="FF333333"/>
      </patternFill>
    </fill>
  </fills>
  <borders count="5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8" fillId="0" borderId="0" xfId="0" applyFont="1" applyAlignment="1">
      <alignment horizontal="center" vertical="center" wrapText="1"/>
    </xf>
    <xf numFmtId="0" fontId="3" fillId="0" borderId="1" xfId="0" applyFont="1" applyBorder="1"/>
    <xf numFmtId="0" fontId="4" fillId="2" borderId="1" xfId="0" applyFont="1" applyFill="1" applyBorder="1"/>
    <xf numFmtId="0" fontId="3" fillId="0" borderId="0" xfId="0" applyFont="1" applyAlignment="1">
      <alignment vertical="top" wrapText="1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/>
    <xf numFmtId="4" fontId="7" fillId="2" borderId="1" xfId="0" applyNumberFormat="1" applyFont="1" applyFill="1" applyBorder="1"/>
    <xf numFmtId="0" fontId="6" fillId="4" borderId="1" xfId="0" applyFont="1" applyFill="1" applyBorder="1"/>
    <xf numFmtId="4" fontId="7" fillId="4" borderId="1" xfId="0" applyNumberFormat="1" applyFont="1" applyFill="1" applyBorder="1"/>
    <xf numFmtId="0" fontId="5" fillId="5" borderId="1" xfId="0" applyFont="1" applyFill="1" applyBorder="1"/>
    <xf numFmtId="4" fontId="5" fillId="5" borderId="1" xfId="0" applyNumberFormat="1" applyFont="1" applyFill="1" applyBorder="1"/>
    <xf numFmtId="4" fontId="0" fillId="2" borderId="1" xfId="0" applyNumberFormat="1" applyFill="1" applyBorder="1"/>
    <xf numFmtId="3" fontId="0" fillId="2" borderId="1" xfId="0" applyNumberFormat="1" applyFill="1" applyBorder="1"/>
    <xf numFmtId="4" fontId="0" fillId="4" borderId="1" xfId="0" applyNumberFormat="1" applyFill="1" applyBorder="1"/>
    <xf numFmtId="3" fontId="0" fillId="4" borderId="1" xfId="0" applyNumberFormat="1" applyFill="1" applyBorder="1"/>
    <xf numFmtId="3" fontId="5" fillId="5" borderId="1" xfId="0" applyNumberFormat="1" applyFont="1" applyFill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opLeftCell="A7" zoomScaleNormal="100" workbookViewId="0">
      <selection activeCell="D22" sqref="D22"/>
    </sheetView>
  </sheetViews>
  <sheetFormatPr baseColWidth="10" defaultColWidth="8.7109375" defaultRowHeight="15" x14ac:dyDescent="0.25"/>
  <cols>
    <col min="1" max="6" width="18" customWidth="1"/>
  </cols>
  <sheetData>
    <row r="1" spans="1:6" ht="34.5" customHeight="1" x14ac:dyDescent="0.25">
      <c r="A1" s="6" t="s">
        <v>0</v>
      </c>
      <c r="B1" s="6"/>
      <c r="C1" s="6"/>
      <c r="D1" s="6"/>
      <c r="E1" s="6"/>
      <c r="F1" s="6"/>
    </row>
    <row r="3" spans="1:6" x14ac:dyDescent="0.25">
      <c r="A3" s="5" t="s">
        <v>1</v>
      </c>
      <c r="B3" s="5"/>
      <c r="C3" s="5"/>
      <c r="D3" s="5"/>
      <c r="E3" s="5"/>
      <c r="F3" s="5"/>
    </row>
    <row r="4" spans="1:6" ht="129.75" customHeight="1" x14ac:dyDescent="0.25">
      <c r="A4" s="4" t="s">
        <v>2</v>
      </c>
      <c r="B4" s="4"/>
      <c r="C4" s="4"/>
      <c r="D4" s="4"/>
      <c r="E4" s="4"/>
      <c r="F4" s="4"/>
    </row>
    <row r="6" spans="1:6" x14ac:dyDescent="0.25">
      <c r="A6" s="5" t="s">
        <v>3</v>
      </c>
      <c r="B6" s="5"/>
      <c r="C6" s="5"/>
      <c r="D6" s="5"/>
      <c r="E6" s="5"/>
      <c r="F6" s="5"/>
    </row>
    <row r="7" spans="1:6" ht="21.75" customHeight="1" x14ac:dyDescent="0.25">
      <c r="A7" s="3" t="s">
        <v>4</v>
      </c>
      <c r="B7" s="3"/>
      <c r="C7" s="3"/>
      <c r="D7" s="2" t="s">
        <v>5</v>
      </c>
      <c r="E7" s="2"/>
      <c r="F7" s="2"/>
    </row>
    <row r="8" spans="1:6" ht="21.75" customHeight="1" x14ac:dyDescent="0.25">
      <c r="A8" s="3" t="s">
        <v>6</v>
      </c>
      <c r="B8" s="3"/>
      <c r="C8" s="3"/>
      <c r="D8" s="2" t="s">
        <v>7</v>
      </c>
      <c r="E8" s="2"/>
      <c r="F8" s="2"/>
    </row>
    <row r="9" spans="1:6" ht="21.75" customHeight="1" x14ac:dyDescent="0.25">
      <c r="A9" s="3" t="s">
        <v>8</v>
      </c>
      <c r="B9" s="3"/>
      <c r="C9" s="3"/>
      <c r="D9" s="2" t="s">
        <v>9</v>
      </c>
      <c r="E9" s="2"/>
      <c r="F9" s="2"/>
    </row>
    <row r="10" spans="1:6" ht="21.75" customHeight="1" x14ac:dyDescent="0.25">
      <c r="A10" s="3" t="s">
        <v>10</v>
      </c>
      <c r="B10" s="3"/>
      <c r="C10" s="3"/>
      <c r="D10" s="2" t="s">
        <v>11</v>
      </c>
      <c r="E10" s="2"/>
      <c r="F10" s="2"/>
    </row>
    <row r="11" spans="1:6" ht="21.75" customHeight="1" x14ac:dyDescent="0.25">
      <c r="A11" s="3" t="s">
        <v>12</v>
      </c>
      <c r="B11" s="3"/>
      <c r="C11" s="3"/>
      <c r="D11" s="2" t="s">
        <v>13</v>
      </c>
      <c r="E11" s="2"/>
      <c r="F11" s="2"/>
    </row>
    <row r="12" spans="1:6" ht="21.75" customHeight="1" x14ac:dyDescent="0.25">
      <c r="A12" s="3" t="s">
        <v>14</v>
      </c>
      <c r="B12" s="3"/>
      <c r="C12" s="3"/>
      <c r="D12" s="2" t="s">
        <v>15</v>
      </c>
      <c r="E12" s="2"/>
      <c r="F12" s="2"/>
    </row>
    <row r="13" spans="1:6" ht="21.75" customHeight="1" x14ac:dyDescent="0.25">
      <c r="A13" s="3" t="s">
        <v>16</v>
      </c>
      <c r="B13" s="3"/>
      <c r="C13" s="3"/>
      <c r="D13" s="2" t="s">
        <v>17</v>
      </c>
      <c r="E13" s="2"/>
      <c r="F13" s="2"/>
    </row>
    <row r="14" spans="1:6" ht="21.75" customHeight="1" x14ac:dyDescent="0.25">
      <c r="A14" s="3" t="s">
        <v>18</v>
      </c>
      <c r="B14" s="3"/>
      <c r="C14" s="3"/>
      <c r="D14" s="2" t="s">
        <v>19</v>
      </c>
      <c r="E14" s="2"/>
      <c r="F14" s="2"/>
    </row>
    <row r="15" spans="1:6" ht="21.75" customHeight="1" x14ac:dyDescent="0.25">
      <c r="A15" s="3" t="s">
        <v>20</v>
      </c>
      <c r="B15" s="3"/>
      <c r="C15" s="3"/>
      <c r="D15" s="2"/>
      <c r="E15" s="2"/>
      <c r="F15" s="2"/>
    </row>
    <row r="16" spans="1:6" ht="21.75" customHeight="1" x14ac:dyDescent="0.25">
      <c r="A16" s="22" t="s">
        <v>21</v>
      </c>
      <c r="B16" s="23"/>
      <c r="C16" s="24"/>
      <c r="D16" s="19" t="s">
        <v>66</v>
      </c>
      <c r="E16" s="20"/>
      <c r="F16" s="21"/>
    </row>
    <row r="17" spans="1:6" ht="21.75" customHeight="1" x14ac:dyDescent="0.25">
      <c r="A17" s="22" t="s">
        <v>22</v>
      </c>
      <c r="B17" s="23"/>
      <c r="C17" s="24"/>
      <c r="D17" s="19" t="s">
        <v>67</v>
      </c>
      <c r="E17" s="20"/>
      <c r="F17" s="21"/>
    </row>
    <row r="18" spans="1:6" ht="21.75" customHeight="1" x14ac:dyDescent="0.25">
      <c r="A18" s="3" t="s">
        <v>23</v>
      </c>
      <c r="B18" s="3"/>
      <c r="C18" s="3"/>
      <c r="D18" s="2" t="s">
        <v>68</v>
      </c>
      <c r="E18" s="2"/>
      <c r="F18" s="2"/>
    </row>
    <row r="19" spans="1:6" ht="21.75" customHeight="1" x14ac:dyDescent="0.25">
      <c r="A19" s="3" t="s">
        <v>24</v>
      </c>
      <c r="B19" s="3"/>
      <c r="C19" s="3"/>
      <c r="D19" s="2" t="s">
        <v>69</v>
      </c>
      <c r="E19" s="2"/>
      <c r="F19" s="2"/>
    </row>
    <row r="20" spans="1:6" ht="21.75" customHeight="1" x14ac:dyDescent="0.25">
      <c r="A20" s="3" t="s">
        <v>25</v>
      </c>
      <c r="B20" s="3"/>
      <c r="C20" s="3"/>
      <c r="D20" s="2"/>
      <c r="E20" s="2"/>
      <c r="F20" s="2"/>
    </row>
    <row r="21" spans="1:6" ht="21.75" customHeight="1" x14ac:dyDescent="0.25">
      <c r="A21" s="3" t="s">
        <v>26</v>
      </c>
      <c r="B21" s="3"/>
      <c r="C21" s="3"/>
      <c r="D21" s="2" t="s">
        <v>70</v>
      </c>
      <c r="E21" s="2"/>
      <c r="F21" s="2"/>
    </row>
  </sheetData>
  <mergeCells count="34">
    <mergeCell ref="A20:C20"/>
    <mergeCell ref="D20:F20"/>
    <mergeCell ref="A21:C21"/>
    <mergeCell ref="D21:F21"/>
    <mergeCell ref="D16:F16"/>
    <mergeCell ref="A16:C16"/>
    <mergeCell ref="A17:C17"/>
    <mergeCell ref="D17:F17"/>
    <mergeCell ref="A18:C18"/>
    <mergeCell ref="D18:F18"/>
    <mergeCell ref="A19:C19"/>
    <mergeCell ref="D19:F19"/>
    <mergeCell ref="A14:C14"/>
    <mergeCell ref="D14:F14"/>
    <mergeCell ref="A15:C15"/>
    <mergeCell ref="D15:F15"/>
    <mergeCell ref="A11:C11"/>
    <mergeCell ref="D11:F11"/>
    <mergeCell ref="A12:C12"/>
    <mergeCell ref="D12:F12"/>
    <mergeCell ref="A13:C13"/>
    <mergeCell ref="D13:F13"/>
    <mergeCell ref="A8:C8"/>
    <mergeCell ref="D8:F8"/>
    <mergeCell ref="A9:C9"/>
    <mergeCell ref="D9:F9"/>
    <mergeCell ref="A10:C10"/>
    <mergeCell ref="D10:F10"/>
    <mergeCell ref="A1:F1"/>
    <mergeCell ref="A3:F3"/>
    <mergeCell ref="A4:F4"/>
    <mergeCell ref="A6:F6"/>
    <mergeCell ref="A7:C7"/>
    <mergeCell ref="D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zoomScaleNormal="100" workbookViewId="0">
      <pane ySplit="3" topLeftCell="A12" activePane="bottomLeft" state="frozen"/>
      <selection pane="bottomLeft" sqref="A1:D1"/>
    </sheetView>
  </sheetViews>
  <sheetFormatPr baseColWidth="10" defaultColWidth="8.7109375" defaultRowHeight="15" x14ac:dyDescent="0.25"/>
  <cols>
    <col min="1" max="1" width="24" customWidth="1"/>
    <col min="2" max="2" width="22" customWidth="1"/>
    <col min="3" max="3" width="24" customWidth="1"/>
    <col min="4" max="4" width="28" customWidth="1"/>
  </cols>
  <sheetData>
    <row r="1" spans="1:4" ht="34.5" customHeight="1" x14ac:dyDescent="0.25">
      <c r="A1" s="6" t="s">
        <v>27</v>
      </c>
      <c r="B1" s="6"/>
      <c r="C1" s="6"/>
      <c r="D1" s="6"/>
    </row>
    <row r="3" spans="1:4" ht="34.5" customHeight="1" x14ac:dyDescent="0.25">
      <c r="A3" s="7" t="s">
        <v>28</v>
      </c>
      <c r="B3" s="7" t="s">
        <v>29</v>
      </c>
      <c r="C3" s="7" t="s">
        <v>30</v>
      </c>
      <c r="D3" s="7" t="s">
        <v>31</v>
      </c>
    </row>
    <row r="4" spans="1:4" x14ac:dyDescent="0.25">
      <c r="A4" s="8" t="s">
        <v>32</v>
      </c>
      <c r="B4" s="9">
        <v>1250000</v>
      </c>
      <c r="C4" s="9">
        <v>14705.88</v>
      </c>
      <c r="D4" s="9">
        <v>14705882.35</v>
      </c>
    </row>
    <row r="5" spans="1:4" x14ac:dyDescent="0.25">
      <c r="A5" s="10" t="s">
        <v>33</v>
      </c>
      <c r="B5" s="11">
        <v>9296875</v>
      </c>
      <c r="C5" s="11">
        <v>86886.68</v>
      </c>
      <c r="D5" s="11">
        <v>86886682.239999995</v>
      </c>
    </row>
    <row r="6" spans="1:4" x14ac:dyDescent="0.25">
      <c r="A6" s="8" t="s">
        <v>34</v>
      </c>
      <c r="B6" s="9">
        <v>1125000</v>
      </c>
      <c r="C6" s="9">
        <v>45000</v>
      </c>
      <c r="D6" s="9">
        <v>45000000</v>
      </c>
    </row>
    <row r="7" spans="1:4" x14ac:dyDescent="0.25">
      <c r="A7" s="10" t="s">
        <v>35</v>
      </c>
      <c r="B7" s="11">
        <v>9167250</v>
      </c>
      <c r="C7" s="11">
        <v>87307.14</v>
      </c>
      <c r="D7" s="11">
        <v>87307142.859999999</v>
      </c>
    </row>
    <row r="8" spans="1:4" x14ac:dyDescent="0.25">
      <c r="A8" s="8" t="s">
        <v>36</v>
      </c>
      <c r="B8" s="9">
        <v>2250000</v>
      </c>
      <c r="C8" s="9">
        <v>27439.02</v>
      </c>
      <c r="D8" s="9">
        <v>27439024.390000001</v>
      </c>
    </row>
    <row r="9" spans="1:4" x14ac:dyDescent="0.25">
      <c r="A9" s="10" t="s">
        <v>37</v>
      </c>
      <c r="B9" s="11">
        <v>3437500</v>
      </c>
      <c r="C9" s="11">
        <v>156250</v>
      </c>
      <c r="D9" s="11">
        <v>156250000</v>
      </c>
    </row>
    <row r="10" spans="1:4" x14ac:dyDescent="0.25">
      <c r="A10" s="8" t="s">
        <v>38</v>
      </c>
      <c r="B10" s="9">
        <v>7609375</v>
      </c>
      <c r="C10" s="9">
        <v>89522.06</v>
      </c>
      <c r="D10" s="9">
        <v>89522058.819999993</v>
      </c>
    </row>
    <row r="11" spans="1:4" x14ac:dyDescent="0.25">
      <c r="A11" s="10" t="s">
        <v>39</v>
      </c>
      <c r="B11" s="11">
        <v>3750000</v>
      </c>
      <c r="C11" s="11">
        <v>98684.21</v>
      </c>
      <c r="D11" s="11">
        <v>98684210.530000001</v>
      </c>
    </row>
    <row r="12" spans="1:4" x14ac:dyDescent="0.25">
      <c r="A12" s="8" t="s">
        <v>40</v>
      </c>
      <c r="B12" s="9">
        <v>1250000</v>
      </c>
      <c r="C12" s="9">
        <v>8333.33</v>
      </c>
      <c r="D12" s="9">
        <v>8333333.3300000001</v>
      </c>
    </row>
    <row r="13" spans="1:4" x14ac:dyDescent="0.25">
      <c r="A13" s="10" t="s">
        <v>41</v>
      </c>
      <c r="B13" s="11">
        <v>3125000</v>
      </c>
      <c r="C13" s="11">
        <v>125000</v>
      </c>
      <c r="D13" s="11">
        <v>125000000</v>
      </c>
    </row>
    <row r="14" spans="1:4" x14ac:dyDescent="0.25">
      <c r="A14" s="8" t="s">
        <v>42</v>
      </c>
      <c r="B14" s="9">
        <v>1625000</v>
      </c>
      <c r="C14" s="9">
        <v>108333.33</v>
      </c>
      <c r="D14" s="9">
        <v>108333333.33</v>
      </c>
    </row>
    <row r="15" spans="1:4" x14ac:dyDescent="0.25">
      <c r="A15" s="10" t="s">
        <v>43</v>
      </c>
      <c r="B15" s="11">
        <v>1123310</v>
      </c>
      <c r="C15" s="11">
        <v>112331</v>
      </c>
      <c r="D15" s="11">
        <v>112331000</v>
      </c>
    </row>
    <row r="16" spans="1:4" x14ac:dyDescent="0.25">
      <c r="A16" s="8" t="s">
        <v>44</v>
      </c>
      <c r="B16" s="9">
        <v>2187500</v>
      </c>
      <c r="C16" s="9">
        <v>72916.67</v>
      </c>
      <c r="D16" s="9">
        <v>72916666.670000002</v>
      </c>
    </row>
    <row r="17" spans="1:4" x14ac:dyDescent="0.25">
      <c r="A17" s="10" t="s">
        <v>45</v>
      </c>
      <c r="B17" s="11">
        <v>1812500</v>
      </c>
      <c r="C17" s="11">
        <v>82386.36</v>
      </c>
      <c r="D17" s="11">
        <v>82386363.640000001</v>
      </c>
    </row>
    <row r="18" spans="1:4" x14ac:dyDescent="0.25">
      <c r="A18" s="8" t="s">
        <v>46</v>
      </c>
      <c r="B18" s="9">
        <v>931250</v>
      </c>
      <c r="C18" s="9">
        <v>18625</v>
      </c>
      <c r="D18" s="9">
        <v>18625000</v>
      </c>
    </row>
    <row r="19" spans="1:4" x14ac:dyDescent="0.25">
      <c r="A19" s="10" t="s">
        <v>47</v>
      </c>
      <c r="B19" s="11">
        <v>750000</v>
      </c>
      <c r="C19" s="11">
        <v>5813.95</v>
      </c>
      <c r="D19" s="11">
        <v>5813953.4900000002</v>
      </c>
    </row>
    <row r="20" spans="1:4" x14ac:dyDescent="0.25">
      <c r="A20" s="8" t="s">
        <v>48</v>
      </c>
      <c r="B20" s="9">
        <v>3963232</v>
      </c>
      <c r="C20" s="9">
        <v>123851</v>
      </c>
      <c r="D20" s="9">
        <v>123851000</v>
      </c>
    </row>
    <row r="21" spans="1:4" x14ac:dyDescent="0.25">
      <c r="A21" s="10" t="s">
        <v>49</v>
      </c>
      <c r="B21" s="11">
        <v>2909638.55</v>
      </c>
      <c r="C21" s="11">
        <v>223818.35</v>
      </c>
      <c r="D21" s="11">
        <v>223818350</v>
      </c>
    </row>
    <row r="22" spans="1:4" x14ac:dyDescent="0.25">
      <c r="A22" s="8" t="s">
        <v>50</v>
      </c>
      <c r="B22" s="9">
        <v>8918750</v>
      </c>
      <c r="C22" s="9">
        <v>129257.25</v>
      </c>
      <c r="D22" s="9">
        <v>129257246.38</v>
      </c>
    </row>
    <row r="23" spans="1:4" x14ac:dyDescent="0.25">
      <c r="A23" s="10" t="s">
        <v>51</v>
      </c>
      <c r="B23" s="11">
        <v>2500000</v>
      </c>
      <c r="C23" s="11">
        <v>166666.67000000001</v>
      </c>
      <c r="D23" s="11">
        <v>166666666.66999999</v>
      </c>
    </row>
    <row r="24" spans="1:4" x14ac:dyDescent="0.25">
      <c r="A24" s="8" t="s">
        <v>52</v>
      </c>
      <c r="B24" s="9">
        <v>625000</v>
      </c>
      <c r="C24" s="9">
        <v>16447.37</v>
      </c>
      <c r="D24" s="9">
        <v>16447368.42</v>
      </c>
    </row>
    <row r="25" spans="1:4" x14ac:dyDescent="0.25">
      <c r="A25" s="10" t="s">
        <v>53</v>
      </c>
      <c r="B25" s="11">
        <v>1245250</v>
      </c>
      <c r="C25" s="11">
        <v>8301.67</v>
      </c>
      <c r="D25" s="11">
        <v>8301666.6699999999</v>
      </c>
    </row>
    <row r="26" spans="1:4" x14ac:dyDescent="0.25">
      <c r="A26" s="8" t="s">
        <v>54</v>
      </c>
      <c r="B26" s="9">
        <v>1875000</v>
      </c>
      <c r="C26" s="9">
        <v>117187.5</v>
      </c>
      <c r="D26" s="9">
        <v>117187500</v>
      </c>
    </row>
    <row r="27" spans="1:4" x14ac:dyDescent="0.25">
      <c r="A27" s="10" t="s">
        <v>55</v>
      </c>
      <c r="B27" s="11">
        <v>1000000</v>
      </c>
      <c r="C27" s="11">
        <v>76923.08</v>
      </c>
      <c r="D27" s="11">
        <v>76923076.920000002</v>
      </c>
    </row>
    <row r="28" spans="1:4" x14ac:dyDescent="0.25">
      <c r="A28" s="12" t="s">
        <v>56</v>
      </c>
      <c r="B28" s="13">
        <f>SUM(B4:B27)</f>
        <v>73727430.549999997</v>
      </c>
      <c r="C28" s="13">
        <f>SUM(C4:C27)</f>
        <v>2001987.52</v>
      </c>
      <c r="D28" s="13">
        <f>SUM(D4:D27)</f>
        <v>2001987526.7100005</v>
      </c>
    </row>
  </sheetData>
  <autoFilter ref="A3:D27" xr:uid="{00000000-0009-0000-0000-000001000000}"/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tabSelected="1" zoomScaleNormal="100" workbookViewId="0">
      <pane ySplit="3" topLeftCell="A15" activePane="bottomLeft" state="frozen"/>
      <selection pane="bottomLeft" activeCell="H27" sqref="H27"/>
    </sheetView>
  </sheetViews>
  <sheetFormatPr baseColWidth="10" defaultColWidth="8.7109375" defaultRowHeight="15" x14ac:dyDescent="0.25"/>
  <cols>
    <col min="1" max="1" width="24" customWidth="1"/>
    <col min="2" max="2" width="22" customWidth="1"/>
    <col min="3" max="4" width="24" customWidth="1"/>
    <col min="5" max="5" width="26" customWidth="1"/>
  </cols>
  <sheetData>
    <row r="1" spans="1:5" ht="39.75" customHeight="1" x14ac:dyDescent="0.25">
      <c r="A1" s="1" t="s">
        <v>71</v>
      </c>
      <c r="B1" s="1"/>
      <c r="C1" s="1"/>
      <c r="D1" s="1"/>
      <c r="E1" s="1"/>
    </row>
    <row r="3" spans="1:5" ht="34.5" customHeight="1" x14ac:dyDescent="0.25">
      <c r="A3" s="7" t="s">
        <v>28</v>
      </c>
      <c r="B3" s="7" t="s">
        <v>57</v>
      </c>
      <c r="C3" s="7" t="s">
        <v>58</v>
      </c>
      <c r="D3" s="7" t="s">
        <v>59</v>
      </c>
      <c r="E3" s="7" t="s">
        <v>60</v>
      </c>
    </row>
    <row r="4" spans="1:5" x14ac:dyDescent="0.25">
      <c r="A4" s="8" t="s">
        <v>32</v>
      </c>
      <c r="B4" s="14"/>
      <c r="C4" s="14"/>
      <c r="D4" s="14"/>
      <c r="E4" s="15"/>
    </row>
    <row r="5" spans="1:5" x14ac:dyDescent="0.25">
      <c r="A5" s="10" t="s">
        <v>61</v>
      </c>
      <c r="B5" s="16"/>
      <c r="C5" s="16"/>
      <c r="D5" s="16"/>
      <c r="E5" s="17"/>
    </row>
    <row r="6" spans="1:5" x14ac:dyDescent="0.25">
      <c r="A6" s="8" t="s">
        <v>62</v>
      </c>
      <c r="B6" s="14"/>
      <c r="C6" s="14"/>
      <c r="D6" s="14"/>
      <c r="E6" s="15"/>
    </row>
    <row r="7" spans="1:5" x14ac:dyDescent="0.25">
      <c r="A7" s="10" t="s">
        <v>34</v>
      </c>
      <c r="B7" s="16"/>
      <c r="C7" s="16"/>
      <c r="D7" s="16"/>
      <c r="E7" s="17"/>
    </row>
    <row r="8" spans="1:5" x14ac:dyDescent="0.25">
      <c r="A8" s="8" t="s">
        <v>35</v>
      </c>
      <c r="B8" s="14"/>
      <c r="C8" s="14"/>
      <c r="D8" s="14"/>
      <c r="E8" s="15"/>
    </row>
    <row r="9" spans="1:5" x14ac:dyDescent="0.25">
      <c r="A9" s="10" t="s">
        <v>36</v>
      </c>
      <c r="B9" s="16"/>
      <c r="C9" s="16"/>
      <c r="D9" s="16"/>
      <c r="E9" s="17"/>
    </row>
    <row r="10" spans="1:5" x14ac:dyDescent="0.25">
      <c r="A10" s="8" t="s">
        <v>37</v>
      </c>
      <c r="B10" s="14"/>
      <c r="C10" s="14"/>
      <c r="D10" s="14"/>
      <c r="E10" s="15"/>
    </row>
    <row r="11" spans="1:5" x14ac:dyDescent="0.25">
      <c r="A11" s="10" t="s">
        <v>38</v>
      </c>
      <c r="B11" s="16"/>
      <c r="C11" s="16"/>
      <c r="D11" s="16"/>
      <c r="E11" s="17"/>
    </row>
    <row r="12" spans="1:5" x14ac:dyDescent="0.25">
      <c r="A12" s="8" t="s">
        <v>63</v>
      </c>
      <c r="B12" s="14"/>
      <c r="C12" s="14"/>
      <c r="D12" s="14"/>
      <c r="E12" s="15"/>
    </row>
    <row r="13" spans="1:5" x14ac:dyDescent="0.25">
      <c r="A13" s="10" t="s">
        <v>40</v>
      </c>
      <c r="B13" s="16"/>
      <c r="C13" s="16"/>
      <c r="D13" s="16"/>
      <c r="E13" s="17"/>
    </row>
    <row r="14" spans="1:5" x14ac:dyDescent="0.25">
      <c r="A14" s="8" t="s">
        <v>64</v>
      </c>
      <c r="B14" s="14"/>
      <c r="C14" s="14"/>
      <c r="D14" s="14"/>
      <c r="E14" s="15"/>
    </row>
    <row r="15" spans="1:5" x14ac:dyDescent="0.25">
      <c r="A15" s="10" t="s">
        <v>42</v>
      </c>
      <c r="B15" s="16"/>
      <c r="C15" s="16"/>
      <c r="D15" s="16"/>
      <c r="E15" s="17"/>
    </row>
    <row r="16" spans="1:5" x14ac:dyDescent="0.25">
      <c r="A16" s="8" t="s">
        <v>43</v>
      </c>
      <c r="B16" s="14"/>
      <c r="C16" s="14"/>
      <c r="D16" s="14"/>
      <c r="E16" s="15"/>
    </row>
    <row r="17" spans="1:5" x14ac:dyDescent="0.25">
      <c r="A17" s="10" t="s">
        <v>44</v>
      </c>
      <c r="B17" s="16"/>
      <c r="C17" s="16"/>
      <c r="D17" s="16"/>
      <c r="E17" s="17"/>
    </row>
    <row r="18" spans="1:5" x14ac:dyDescent="0.25">
      <c r="A18" s="8" t="s">
        <v>45</v>
      </c>
      <c r="B18" s="14"/>
      <c r="C18" s="14"/>
      <c r="D18" s="14"/>
      <c r="E18" s="15"/>
    </row>
    <row r="19" spans="1:5" x14ac:dyDescent="0.25">
      <c r="A19" s="10" t="s">
        <v>46</v>
      </c>
      <c r="B19" s="16"/>
      <c r="C19" s="16"/>
      <c r="D19" s="16"/>
      <c r="E19" s="17"/>
    </row>
    <row r="20" spans="1:5" x14ac:dyDescent="0.25">
      <c r="A20" s="8" t="s">
        <v>47</v>
      </c>
      <c r="B20" s="14"/>
      <c r="C20" s="14"/>
      <c r="D20" s="14"/>
      <c r="E20" s="15"/>
    </row>
    <row r="21" spans="1:5" x14ac:dyDescent="0.25">
      <c r="A21" s="10" t="s">
        <v>48</v>
      </c>
      <c r="B21" s="16"/>
      <c r="C21" s="16"/>
      <c r="D21" s="16"/>
      <c r="E21" s="17"/>
    </row>
    <row r="22" spans="1:5" x14ac:dyDescent="0.25">
      <c r="A22" s="8" t="s">
        <v>49</v>
      </c>
      <c r="B22" s="14"/>
      <c r="C22" s="14"/>
      <c r="D22" s="14"/>
      <c r="E22" s="15"/>
    </row>
    <row r="23" spans="1:5" x14ac:dyDescent="0.25">
      <c r="A23" s="10" t="s">
        <v>50</v>
      </c>
      <c r="B23" s="16"/>
      <c r="C23" s="16"/>
      <c r="D23" s="16"/>
      <c r="E23" s="17"/>
    </row>
    <row r="24" spans="1:5" x14ac:dyDescent="0.25">
      <c r="A24" s="8" t="s">
        <v>65</v>
      </c>
      <c r="B24" s="14"/>
      <c r="C24" s="14"/>
      <c r="D24" s="14"/>
      <c r="E24" s="15"/>
    </row>
    <row r="25" spans="1:5" x14ac:dyDescent="0.25">
      <c r="A25" s="10" t="s">
        <v>52</v>
      </c>
      <c r="B25" s="16"/>
      <c r="C25" s="16"/>
      <c r="D25" s="16"/>
      <c r="E25" s="17"/>
    </row>
    <row r="26" spans="1:5" x14ac:dyDescent="0.25">
      <c r="A26" s="8" t="s">
        <v>53</v>
      </c>
      <c r="B26" s="14"/>
      <c r="C26" s="14"/>
      <c r="D26" s="14"/>
      <c r="E26" s="15"/>
    </row>
    <row r="27" spans="1:5" x14ac:dyDescent="0.25">
      <c r="A27" s="10" t="s">
        <v>54</v>
      </c>
      <c r="B27" s="16"/>
      <c r="C27" s="16"/>
      <c r="D27" s="16"/>
      <c r="E27" s="17"/>
    </row>
    <row r="28" spans="1:5" x14ac:dyDescent="0.25">
      <c r="A28" s="12" t="s">
        <v>56</v>
      </c>
      <c r="B28" s="13">
        <f>SUM(B4:B27)</f>
        <v>0</v>
      </c>
      <c r="C28" s="13">
        <f>SUM(C4:C27)</f>
        <v>0</v>
      </c>
      <c r="D28" s="13">
        <f>SUM(D4:D27)</f>
        <v>0</v>
      </c>
      <c r="E28" s="18">
        <f>SUM(E4:E27)</f>
        <v>0</v>
      </c>
    </row>
  </sheetData>
  <autoFilter ref="A3:E27" xr:uid="{00000000-0009-0000-0000-000002000000}"/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General</vt:lpstr>
      <vt:lpstr>Primas y Cobertura</vt:lpstr>
      <vt:lpstr>Indemnizaciones y Desembolsos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ivan mena alberca</cp:lastModifiedBy>
  <cp:revision>0</cp:revision>
  <dcterms:created xsi:type="dcterms:W3CDTF">2026-02-25T02:20:52Z</dcterms:created>
  <dcterms:modified xsi:type="dcterms:W3CDTF">2026-02-27T02:24:48Z</dcterms:modified>
  <dc:language>en-US</dc:language>
</cp:coreProperties>
</file>